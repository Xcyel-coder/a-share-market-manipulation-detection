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ent_papers\PHD\muqing\操纵风险\data\"/>
    </mc:Choice>
  </mc:AlternateContent>
  <xr:revisionPtr revIDLastSave="0" documentId="8_{39644CFF-3328-47D1-9BF2-C388E821CD73}" xr6:coauthVersionLast="47" xr6:coauthVersionMax="47" xr10:uidLastSave="{00000000-0000-0000-0000-000000000000}"/>
  <bookViews>
    <workbookView xWindow="-120" yWindow="-120" windowWidth="29040" windowHeight="15840" xr2:uid="{6CC0B146-8125-4E11-8D00-163DCD0A9A3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1" l="1"/>
  <c r="B110" i="1"/>
  <c r="B109" i="1"/>
  <c r="B95" i="1"/>
  <c r="B653" i="1"/>
  <c r="B652" i="1"/>
  <c r="B651" i="1"/>
  <c r="B650" i="1"/>
  <c r="B649" i="1"/>
  <c r="B648" i="1"/>
  <c r="B647" i="1"/>
  <c r="B646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2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<sst xmlns="http://schemas.openxmlformats.org/spreadsheetml/2006/main" count="1113" uniqueCount="895">
  <si>
    <t>文本序</t>
  </si>
  <si>
    <t>股票代码</t>
  </si>
  <si>
    <t>股票名称</t>
  </si>
  <si>
    <t>开始日期</t>
  </si>
  <si>
    <t>结束日期</t>
  </si>
  <si>
    <t>操纵期间</t>
  </si>
  <si>
    <t>处罚宣告日</t>
  </si>
  <si>
    <t>备注</t>
  </si>
  <si>
    <t>电光科技</t>
  </si>
  <si>
    <t>美尚生态</t>
  </si>
  <si>
    <t>维格娜丝</t>
  </si>
  <si>
    <t>2017年7月25日至8月14日</t>
  </si>
  <si>
    <t>1支股票在两段时期内被操纵</t>
  </si>
  <si>
    <t>2017年8月23日至9月14日</t>
  </si>
  <si>
    <t>康隆达</t>
  </si>
  <si>
    <t>2017年9月20日至9月29日</t>
  </si>
  <si>
    <t>金麒麟</t>
  </si>
  <si>
    <t>2017年8月22日至8月31日</t>
  </si>
  <si>
    <t>2017年9月4日至9月22日</t>
  </si>
  <si>
    <t>铁流股份</t>
  </si>
  <si>
    <t>2017年8月15日至8月25日</t>
  </si>
  <si>
    <t>红蜻蜓</t>
  </si>
  <si>
    <t>2017年7月24日至8月2日</t>
  </si>
  <si>
    <t>2017年8月31日至9月8日</t>
  </si>
  <si>
    <t>日月股份</t>
  </si>
  <si>
    <t>2017年7月20日至7月26日</t>
  </si>
  <si>
    <t>太平鸟</t>
  </si>
  <si>
    <t>2017年6月26日至7月7日</t>
  </si>
  <si>
    <t>2017年7月20日至7月28日</t>
  </si>
  <si>
    <t>秦安股份</t>
  </si>
  <si>
    <t>2018年3月13日至4月3日</t>
  </si>
  <si>
    <t>上海亚虹</t>
  </si>
  <si>
    <t>2018年3月9日至3月16日</t>
  </si>
  <si>
    <t>恒润股份</t>
  </si>
  <si>
    <t>2018年4月2日至4月25日</t>
  </si>
  <si>
    <t>中马传动</t>
  </si>
  <si>
    <t>2018年3月6日至4月11日</t>
  </si>
  <si>
    <t>利德曼</t>
  </si>
  <si>
    <t>艾迪精密</t>
  </si>
  <si>
    <t>劲拓股份</t>
  </si>
  <si>
    <t>2017年11月6日至2019年4月29日</t>
  </si>
  <si>
    <t>森源电气</t>
  </si>
  <si>
    <t>操纵行为分成三个阶段，开始日期与结束日期分别为操作行为最早开始时间和最晚结束时间</t>
  </si>
  <si>
    <t>金一文化</t>
  </si>
  <si>
    <t>2017年12月7日至2018年5月28日</t>
  </si>
  <si>
    <t>操纵多支股票</t>
  </si>
  <si>
    <t>利民股份</t>
  </si>
  <si>
    <t>2015年12月7日至2016年4月29日</t>
  </si>
  <si>
    <t>兰太实业</t>
  </si>
  <si>
    <t>2015年11月6日至2016年4月19日</t>
  </si>
  <si>
    <t>维力医疗</t>
  </si>
  <si>
    <t>2015年12月3日至2016年4月29日</t>
  </si>
  <si>
    <t>金自天正</t>
  </si>
  <si>
    <t>2015年11月24日至2016年6月16日</t>
  </si>
  <si>
    <t>桂东电力</t>
  </si>
  <si>
    <t>2016年1月15日至4月20日</t>
  </si>
  <si>
    <t>吉艾科技</t>
  </si>
  <si>
    <t>2015年11月10日至2016年6月1日</t>
  </si>
  <si>
    <t>英特集团</t>
  </si>
  <si>
    <t>2016年1月27日至2016年6月23日</t>
  </si>
  <si>
    <t>正虹科技</t>
  </si>
  <si>
    <t>2015年6月25日至2016年7月11日</t>
  </si>
  <si>
    <t>亚太实业</t>
  </si>
  <si>
    <t>2015年8月20日至11月17日</t>
  </si>
  <si>
    <t>杭州高新</t>
  </si>
  <si>
    <t>2015年7月27日至11月24日</t>
  </si>
  <si>
    <t>凯瑞德</t>
  </si>
  <si>
    <t>2016年1月27日至12月6日</t>
  </si>
  <si>
    <t>天广消防</t>
  </si>
  <si>
    <t>2015年8月11日至2016年3月11日</t>
  </si>
  <si>
    <t>天马精化</t>
  </si>
  <si>
    <t>2015年12月8日至2016年6月27日</t>
  </si>
  <si>
    <t>嘉应制药</t>
  </si>
  <si>
    <t>2015年5月22日至2016年3月25日</t>
  </si>
  <si>
    <t>凤形股份</t>
  </si>
  <si>
    <t>2016年8月19日至12月8日</t>
  </si>
  <si>
    <t>新日恒力</t>
  </si>
  <si>
    <t>2017年1月24日至3月28日</t>
  </si>
  <si>
    <t>道尔智控</t>
  </si>
  <si>
    <t>2017年9月6日至2018年1月12日</t>
  </si>
  <si>
    <t>力盛运动</t>
  </si>
  <si>
    <t>2020年1月3日至12月24日</t>
  </si>
  <si>
    <t>2017年10月9日至2018年2月28日</t>
  </si>
  <si>
    <t>当代东方</t>
  </si>
  <si>
    <t>2017年8月23日至2018年8月15日</t>
  </si>
  <si>
    <t>朗迪集团</t>
  </si>
  <si>
    <t>2019年11月4日至2020年4月7日</t>
  </si>
  <si>
    <t>丽岛新材</t>
  </si>
  <si>
    <t>2020年3月24日至2020年7月9日</t>
  </si>
  <si>
    <t/>
  </si>
  <si>
    <t>麦迪电气</t>
  </si>
  <si>
    <t>2017年7月10日至7月31日</t>
  </si>
  <si>
    <t>初灵信息</t>
  </si>
  <si>
    <t>2018年10月9日至10月25日</t>
  </si>
  <si>
    <t>深桑达A</t>
  </si>
  <si>
    <t>2018年6月1日至22日</t>
  </si>
  <si>
    <t>恒锋信息</t>
  </si>
  <si>
    <t>2018年11月29日至12月17日</t>
  </si>
  <si>
    <t>中广天择</t>
  </si>
  <si>
    <t>2018年3月12日至4月9日</t>
  </si>
  <si>
    <t>天药股份</t>
  </si>
  <si>
    <t>2018年3月20日至29日</t>
  </si>
  <si>
    <t>华电重工</t>
  </si>
  <si>
    <t>2017年11月6日至12月1日</t>
  </si>
  <si>
    <t>龙建股份</t>
  </si>
  <si>
    <t>2017年8月21日至9月6日</t>
  </si>
  <si>
    <t>浙数文化</t>
  </si>
  <si>
    <t>2016年10月31日至2017年7月28日</t>
  </si>
  <si>
    <t>浙江交科</t>
  </si>
  <si>
    <t>2017年8月25日至2018年5月18日</t>
  </si>
  <si>
    <t>2018年5月21日至2019年1月11日</t>
  </si>
  <si>
    <t>柏堡龙</t>
  </si>
  <si>
    <t>2018年7月6日至2019年5月31日</t>
  </si>
  <si>
    <t>酒钢宏兴</t>
  </si>
  <si>
    <t>2015年4月13日至2015年5月14日</t>
  </si>
  <si>
    <t>贵人鸟</t>
  </si>
  <si>
    <t>2015年6月2日至2015年8月3日</t>
  </si>
  <si>
    <t>美锦能源</t>
  </si>
  <si>
    <t>2015年6月11日至2015年8月18日</t>
  </si>
  <si>
    <t>2015年8月31日至2015年9月10日</t>
  </si>
  <si>
    <t>太化股份</t>
  </si>
  <si>
    <t>2015年6月25日至2015年7月22日</t>
  </si>
  <si>
    <t>2015年7月30日至2015年8月10日</t>
  </si>
  <si>
    <t>漳州发展</t>
  </si>
  <si>
    <t>2015年7月20日至2015年9月17日</t>
  </si>
  <si>
    <t>2015年10月15日至2015年10月19日</t>
  </si>
  <si>
    <t>国脉科技</t>
  </si>
  <si>
    <t>2015年7月20日至2015年8月10日</t>
  </si>
  <si>
    <t>2015年8月28日至2015年9月7日</t>
  </si>
  <si>
    <t>广宇发展</t>
  </si>
  <si>
    <t>2015年7月23日至2015年9月8日</t>
  </si>
  <si>
    <t>1支股票在三段时期内被操纵</t>
  </si>
  <si>
    <t>2015年9月25日至2015年11月13日</t>
  </si>
  <si>
    <t>2015年11月26日至2015年12月14日</t>
  </si>
  <si>
    <t>曙光股份</t>
  </si>
  <si>
    <t>2015年8月13日至2015年9月2日</t>
  </si>
  <si>
    <t>钱江生化</t>
  </si>
  <si>
    <t>2015年8月13日至2015年9月8日</t>
  </si>
  <si>
    <t>广宇集团</t>
  </si>
  <si>
    <t>2015年8月13日至2015年9月7日</t>
  </si>
  <si>
    <t>全柴动力</t>
  </si>
  <si>
    <t>2015年9月21日至2015年9月30日</t>
  </si>
  <si>
    <t>2015年11月25日至2015年12月17日</t>
  </si>
  <si>
    <t>天宝股份</t>
  </si>
  <si>
    <t>2015年10月16日至2015年11月2日</t>
  </si>
  <si>
    <t>远兴能源</t>
  </si>
  <si>
    <t>2016年8月19日至2016年11月7日</t>
  </si>
  <si>
    <t>2017年7月4日至2017年9月21日</t>
  </si>
  <si>
    <t>隆华节能</t>
  </si>
  <si>
    <t>2017年5月17日至2017年9月25日</t>
  </si>
  <si>
    <t>冠农股份</t>
  </si>
  <si>
    <t>2017年6月9日至2017年7月18日</t>
  </si>
  <si>
    <t>维维股份</t>
  </si>
  <si>
    <t>2017年6月6日至2017年6月16日</t>
  </si>
  <si>
    <t>2017年7月13日至2017年7月27日</t>
  </si>
  <si>
    <t>2017年10月11日至2017年10月24日</t>
  </si>
  <si>
    <t>长春燃气</t>
  </si>
  <si>
    <t>2017年2月8日至2017年2月16日</t>
  </si>
  <si>
    <t>新美星</t>
  </si>
  <si>
    <t>2018年9月26日至2019年6月26日</t>
  </si>
  <si>
    <t>天龙股份</t>
  </si>
  <si>
    <t>2019年2月13日至5月10日</t>
  </si>
  <si>
    <t>水星家纺</t>
  </si>
  <si>
    <t>2018年12月17日至2019年3月5日</t>
  </si>
  <si>
    <t>横河模具</t>
  </si>
  <si>
    <t>2019年1月28日至3月13日</t>
  </si>
  <si>
    <t>延江股份</t>
  </si>
  <si>
    <t>济民医疗</t>
  </si>
  <si>
    <t>2017年3月29日至2018年2月5日</t>
  </si>
  <si>
    <t>三夫户外</t>
  </si>
  <si>
    <t>2018年11月1日至2020年6月19日</t>
  </si>
  <si>
    <t>信息披露违规，并非操纵</t>
  </si>
  <si>
    <t>圣龙股份</t>
  </si>
  <si>
    <t>如通股份</t>
  </si>
  <si>
    <t>汇金通</t>
  </si>
  <si>
    <t>2017年3月6日至4月24日</t>
  </si>
  <si>
    <t>得邦照明</t>
  </si>
  <si>
    <t>2018年5月22日至2019年5月8日</t>
  </si>
  <si>
    <t>吉林高速</t>
  </si>
  <si>
    <t>存在两轮操纵</t>
  </si>
  <si>
    <t>大连热电</t>
  </si>
  <si>
    <t>2020年3月27日至4月3日</t>
  </si>
  <si>
    <t>宜宾纸业</t>
  </si>
  <si>
    <t>2020年4月27日至5月8日</t>
  </si>
  <si>
    <t>绿城水务</t>
  </si>
  <si>
    <t>2020年5月7日至5月18日</t>
  </si>
  <si>
    <t>宁波热电</t>
  </si>
  <si>
    <t>2020年5月13日至6月2日</t>
  </si>
  <si>
    <t>哈森股份</t>
  </si>
  <si>
    <t>2020年6月1日至6月4日</t>
  </si>
  <si>
    <t>友邦吊顶</t>
  </si>
  <si>
    <t>2020年6月4日至7月15日</t>
  </si>
  <si>
    <t>大庆华科</t>
  </si>
  <si>
    <t>2020年7月3日至11月6日</t>
  </si>
  <si>
    <t>昇兴股份</t>
  </si>
  <si>
    <t>2019年12月10日至2020年3月25日</t>
  </si>
  <si>
    <t>ST天业</t>
  </si>
  <si>
    <t>2018年8月8日至2019年3月12日</t>
  </si>
  <si>
    <t>宜华健康</t>
  </si>
  <si>
    <t>2017年7月20日至2019年3月15日</t>
  </si>
  <si>
    <t>上柴股份</t>
  </si>
  <si>
    <t>2017年7月28日到2018年5月17日</t>
  </si>
  <si>
    <t>新莱应材</t>
  </si>
  <si>
    <t>2018年2月12日至9月10日</t>
  </si>
  <si>
    <t>三星新材</t>
  </si>
  <si>
    <t>2017年3月29日至2017年5月19日</t>
  </si>
  <si>
    <t>操纵行为分成四个阶段</t>
  </si>
  <si>
    <t>2017年5月22日至2017年8月4日</t>
  </si>
  <si>
    <t>2017年8月7日至2017年10月19日</t>
  </si>
  <si>
    <t>2017年10月20日至2017年10月30日</t>
  </si>
  <si>
    <t>安德利</t>
  </si>
  <si>
    <t>2018年7月25日至10月30日</t>
  </si>
  <si>
    <t>君禾股份</t>
  </si>
  <si>
    <t>2019年3月18日至8月22日</t>
  </si>
  <si>
    <t>第一医药</t>
  </si>
  <si>
    <t>2018年12月14日至2019年2月11日</t>
  </si>
  <si>
    <t>梅轮电梯</t>
  </si>
  <si>
    <t>2019年1月24日至2019年2月13日</t>
  </si>
  <si>
    <t>康惠制药</t>
  </si>
  <si>
    <t>2017年7月13日至2017年8月31日</t>
  </si>
  <si>
    <t>亚振家居</t>
  </si>
  <si>
    <t>2018年4月27日至2018年9月28日</t>
  </si>
  <si>
    <t>诺邦股份</t>
  </si>
  <si>
    <t>2018年12月21日至2019年2月12日</t>
  </si>
  <si>
    <t>2019年2月18日至2019年3月21日</t>
  </si>
  <si>
    <t>金新农</t>
  </si>
  <si>
    <t>2018年8月20日至2019年2月22日</t>
  </si>
  <si>
    <t>天铁股份</t>
  </si>
  <si>
    <t>2018年12月19日至2019年3月1日</t>
  </si>
  <si>
    <t>嘉澳环保</t>
  </si>
  <si>
    <t>2019年1月14日至2月15日</t>
  </si>
  <si>
    <t>鼎捷软件</t>
  </si>
  <si>
    <t>2019年3月14日至4月15日</t>
  </si>
  <si>
    <t>瑞普生物</t>
  </si>
  <si>
    <t>2019年4月1日至5月22日</t>
  </si>
  <si>
    <t>仁东控股</t>
  </si>
  <si>
    <t>2019年6月3日至2020年12月29日</t>
  </si>
  <si>
    <t>天山生物</t>
  </si>
  <si>
    <t>2020年8月19日至24日</t>
  </si>
  <si>
    <t>百合花</t>
  </si>
  <si>
    <t>2018年8月2日至2019年4月26日</t>
  </si>
  <si>
    <t>福建金森</t>
  </si>
  <si>
    <t>2018年8月1日至2019年6月13日</t>
  </si>
  <si>
    <t>华鼎股份</t>
  </si>
  <si>
    <t>2017年7月28日至2018年6月20日</t>
  </si>
  <si>
    <t>新华医疗</t>
  </si>
  <si>
    <t>2018年3月27日到4月9日</t>
  </si>
  <si>
    <t>弘宇股份</t>
  </si>
  <si>
    <t>2018年3月30日至2018年5月22日</t>
  </si>
  <si>
    <t>中昌数据</t>
  </si>
  <si>
    <t>2018年2月9日至2019年1月16日</t>
  </si>
  <si>
    <t>华仁药业</t>
  </si>
  <si>
    <t>2017年4月19日至2018年2月27日</t>
  </si>
  <si>
    <t>华平股份</t>
  </si>
  <si>
    <t>2017年7月24日至2018年6月26日</t>
  </si>
  <si>
    <t>博信股份</t>
  </si>
  <si>
    <t>2016年5月18日至5月19日</t>
  </si>
  <si>
    <t>2016年5月30日至6月1日</t>
  </si>
  <si>
    <t>2016年6月14日至6月28日</t>
  </si>
  <si>
    <t>亚星客车</t>
  </si>
  <si>
    <t>2016年5月12日至5月25日</t>
  </si>
  <si>
    <t>2016年5月16日至5月17日</t>
  </si>
  <si>
    <t>赛福天</t>
  </si>
  <si>
    <t>2016年6月23日至6月28日</t>
  </si>
  <si>
    <t>杭电股份</t>
  </si>
  <si>
    <t>2016年2月24日至3月1日</t>
  </si>
  <si>
    <t>2016年5月26日至5月31日</t>
  </si>
  <si>
    <t>山东威达</t>
  </si>
  <si>
    <t>2016年9月5日至9月12日</t>
  </si>
  <si>
    <t>棒杰股份</t>
  </si>
  <si>
    <t>2016年1月20日至1月27日</t>
  </si>
  <si>
    <t>2016年7月13日至7月18日</t>
  </si>
  <si>
    <t>博实股份</t>
  </si>
  <si>
    <t>2016年1月27日至1月28日</t>
  </si>
  <si>
    <t>金利华电</t>
  </si>
  <si>
    <t>2016年2月16日至2月17日</t>
  </si>
  <si>
    <t>德美化工</t>
  </si>
  <si>
    <t>2017年2月28日至2018年2月22日</t>
  </si>
  <si>
    <t>梅花生物</t>
  </si>
  <si>
    <t>2015年7月8日至2015年8月12日</t>
  </si>
  <si>
    <t>聚隆科技</t>
  </si>
  <si>
    <t>2017年3月7日至4月25日</t>
  </si>
  <si>
    <t>ST北讯</t>
  </si>
  <si>
    <t>2016年8月8日至2018年9月20日</t>
  </si>
  <si>
    <t>正平股份</t>
  </si>
  <si>
    <t>2017年9月25日至2018年2月6日</t>
  </si>
  <si>
    <t>阿波罗</t>
  </si>
  <si>
    <t>2015年6月26日至9月30日</t>
  </si>
  <si>
    <t>2014年8月5日至2015年6月25日期间</t>
  </si>
  <si>
    <t>粤泰股份</t>
  </si>
  <si>
    <t>2017年1月13日至1月16日</t>
  </si>
  <si>
    <t>明利股份</t>
  </si>
  <si>
    <t>2015年4月24日至2016年12月23日</t>
  </si>
  <si>
    <t>神开股份</t>
  </si>
  <si>
    <t>2016年10月14日至2017年4月19日</t>
  </si>
  <si>
    <t>2015年10月8日至2018年4月27日</t>
  </si>
  <si>
    <t>菲达环保</t>
  </si>
  <si>
    <t>2015年12月17日至22日</t>
  </si>
  <si>
    <t>2016年4月27日、28日</t>
  </si>
  <si>
    <t>2016年6月6日至15日</t>
  </si>
  <si>
    <t>2016年6月27、28日</t>
  </si>
  <si>
    <t>2016年7月11日、12日、7月14日至19日</t>
  </si>
  <si>
    <t>东风科技</t>
  </si>
  <si>
    <t>2016年6月2日、3日、6月7日、8日</t>
  </si>
  <si>
    <t>人民网</t>
  </si>
  <si>
    <t>2016年6月17日至23日</t>
  </si>
  <si>
    <t>2017年2月14日至3月10日期间</t>
  </si>
  <si>
    <t>天马股份</t>
  </si>
  <si>
    <t>吉林化纤</t>
  </si>
  <si>
    <t>2015年10月27日至2016年8月1日</t>
  </si>
  <si>
    <t>奔腾集团</t>
  </si>
  <si>
    <t>2016年12月30日至2017年1月6日</t>
  </si>
  <si>
    <t>丰华股份</t>
  </si>
  <si>
    <t>2016年2月2日至3月16日</t>
  </si>
  <si>
    <t>拓日新能</t>
  </si>
  <si>
    <t>2016年3月10日至4月7日</t>
  </si>
  <si>
    <t>粤水电</t>
  </si>
  <si>
    <t>2016年3月30日至5月31日</t>
  </si>
  <si>
    <t>澳柯玛</t>
  </si>
  <si>
    <t>2016年4月22日至5月20日</t>
  </si>
  <si>
    <t>海信科龙</t>
  </si>
  <si>
    <t>2016年5月17日至6月3日</t>
  </si>
  <si>
    <t>柘中股份</t>
  </si>
  <si>
    <t>2016年11月10日至28日</t>
  </si>
  <si>
    <t>浩丰科技</t>
  </si>
  <si>
    <t>南华仪器</t>
  </si>
  <si>
    <t>山河药辅</t>
  </si>
  <si>
    <t>中飞股份</t>
  </si>
  <si>
    <t>栋梁新材</t>
  </si>
  <si>
    <t>云煤能源</t>
  </si>
  <si>
    <t>2015年9月18日至10月9日</t>
  </si>
  <si>
    <t>西藏旅游</t>
  </si>
  <si>
    <t>2015年7月15日至7月17日</t>
  </si>
  <si>
    <t>恒源煤电</t>
  </si>
  <si>
    <t>西宁特钢</t>
  </si>
  <si>
    <t>新钢股份</t>
  </si>
  <si>
    <t>四川长虹</t>
  </si>
  <si>
    <t>2015年6月9日至10日</t>
  </si>
  <si>
    <t>钢构工程</t>
  </si>
  <si>
    <t>大唐电信</t>
  </si>
  <si>
    <t>江苏阳光</t>
  </si>
  <si>
    <t>际华集团</t>
  </si>
  <si>
    <t>营口港</t>
  </si>
  <si>
    <t>2014年8月22日至25日</t>
  </si>
  <si>
    <t>2014年9月2日至9日</t>
  </si>
  <si>
    <t>中航重机</t>
  </si>
  <si>
    <t>和邦生物</t>
  </si>
  <si>
    <t>三力士</t>
  </si>
  <si>
    <t>得利斯</t>
  </si>
  <si>
    <t>协鑫集成</t>
  </si>
  <si>
    <t>神思电子</t>
  </si>
  <si>
    <t>宝信软件</t>
  </si>
  <si>
    <t>1支股票在四段时期内被操纵</t>
  </si>
  <si>
    <t>联发股份</t>
  </si>
  <si>
    <t>高鸿股份</t>
  </si>
  <si>
    <t>巨化股份</t>
  </si>
  <si>
    <t>泰合健康</t>
  </si>
  <si>
    <t>万向钱潮</t>
  </si>
  <si>
    <t>鸿博股份</t>
  </si>
  <si>
    <t>华工科技</t>
  </si>
  <si>
    <t>冠豪高新</t>
  </si>
  <si>
    <t>锡业股份</t>
  </si>
  <si>
    <t>西部黄金</t>
  </si>
  <si>
    <t>亚太股份</t>
  </si>
  <si>
    <t>龙蟒佰利</t>
  </si>
  <si>
    <t>欧菲科技</t>
  </si>
  <si>
    <t>东旭光电</t>
  </si>
  <si>
    <t>深中华A</t>
  </si>
  <si>
    <t>新大陆</t>
  </si>
  <si>
    <t>ST罗顿</t>
  </si>
  <si>
    <t>2017年1月3日至3月14日</t>
  </si>
  <si>
    <t>清源股份</t>
  </si>
  <si>
    <t>2017年2月20日至5月11日</t>
  </si>
  <si>
    <t>2017年2月20日至6月1日</t>
  </si>
  <si>
    <t>湘油泵</t>
  </si>
  <si>
    <t>2016年12月27日至2017年2月9日</t>
  </si>
  <si>
    <t>海航控股</t>
  </si>
  <si>
    <t>南威软件</t>
  </si>
  <si>
    <t>迪马股份</t>
  </si>
  <si>
    <t>黄河旋风</t>
  </si>
  <si>
    <t>ST毅达</t>
  </si>
  <si>
    <t>中水渔业</t>
  </si>
  <si>
    <t>2016年5月16日至2016年6月1日</t>
  </si>
  <si>
    <t>宝鼎科技</t>
  </si>
  <si>
    <t>中电电机</t>
  </si>
  <si>
    <t>2015年12月17日至2016年7月13日</t>
  </si>
  <si>
    <t>永艺股份</t>
  </si>
  <si>
    <t>2016年6月3日至6月24日</t>
  </si>
  <si>
    <t>大连电瓷</t>
  </si>
  <si>
    <t>2016年6月28日至2017年3月2日</t>
  </si>
  <si>
    <t>百川股份</t>
  </si>
  <si>
    <t>2015年9月9日至15日</t>
  </si>
  <si>
    <t>九强生物</t>
  </si>
  <si>
    <t>南兴装备</t>
  </si>
  <si>
    <t>2015年7月20日至8月31日</t>
  </si>
  <si>
    <t>仁和药业</t>
  </si>
  <si>
    <t>2015年10月29日至30日</t>
  </si>
  <si>
    <t>新天科技</t>
  </si>
  <si>
    <t>2015年9月24日至10月13日</t>
  </si>
  <si>
    <t>中来股份</t>
  </si>
  <si>
    <t>鹏翎股份</t>
  </si>
  <si>
    <t>2016年3月4日至8日</t>
  </si>
  <si>
    <t>瑞丰高材</t>
  </si>
  <si>
    <t>经纬纺机</t>
  </si>
  <si>
    <t>2015年8月26日、9月7日、9月10日</t>
  </si>
  <si>
    <t>1支股票在多段时期内被操纵</t>
  </si>
  <si>
    <t>云南锗业</t>
  </si>
  <si>
    <t>2016年1月6日、1月11日、2月3日、3月15日</t>
  </si>
  <si>
    <t>先锋新材</t>
  </si>
  <si>
    <t>2016年2月18日、2月29日</t>
  </si>
  <si>
    <t>圣农发展</t>
  </si>
  <si>
    <t>红宇新材</t>
  </si>
  <si>
    <t>天神娱乐</t>
  </si>
  <si>
    <t>三联虹普</t>
  </si>
  <si>
    <t>明家科技</t>
  </si>
  <si>
    <t>国祯环保</t>
  </si>
  <si>
    <t>强力新材</t>
  </si>
  <si>
    <t>福昕软件</t>
  </si>
  <si>
    <t>圆融科技</t>
  </si>
  <si>
    <t>ST复娱</t>
  </si>
  <si>
    <t>蓝天环保</t>
  </si>
  <si>
    <t>许继智能</t>
  </si>
  <si>
    <t>智通建设</t>
  </si>
  <si>
    <t>中喜生态</t>
  </si>
  <si>
    <t>梓橦宫</t>
  </si>
  <si>
    <t>青雨传媒</t>
  </si>
  <si>
    <t>凌志软件</t>
  </si>
  <si>
    <t>粤林股份</t>
  </si>
  <si>
    <t>搜才人力</t>
  </si>
  <si>
    <t>卡联科技</t>
  </si>
  <si>
    <t>中兴通科</t>
  </si>
  <si>
    <t>精华制药</t>
  </si>
  <si>
    <t>2015年1月12日至2月17日</t>
  </si>
  <si>
    <t>2016年1月11日至2016年2月5日</t>
  </si>
  <si>
    <t>易事特</t>
  </si>
  <si>
    <t>2016年12月1日、12月5日</t>
  </si>
  <si>
    <t>节能风电</t>
  </si>
  <si>
    <t>2015年6月26日至6月29日</t>
  </si>
  <si>
    <t>张家港行</t>
  </si>
  <si>
    <t>2017年2月10日至4月12日</t>
  </si>
  <si>
    <t>和胜股份</t>
  </si>
  <si>
    <t>2017年2月7日至2月17日</t>
  </si>
  <si>
    <t>江阴银行</t>
  </si>
  <si>
    <t>2017年2月10日至5月9日</t>
  </si>
  <si>
    <t>与201805一致</t>
  </si>
  <si>
    <t>众益传媒</t>
  </si>
  <si>
    <t>2015年6月30日至2015年7月21日</t>
  </si>
  <si>
    <t>2015年10月23日至11月23日</t>
  </si>
  <si>
    <t>卫东环保</t>
  </si>
  <si>
    <t>2015年12月1日至2016年3月31日</t>
  </si>
  <si>
    <t>兴发集团</t>
  </si>
  <si>
    <t>大连国际</t>
  </si>
  <si>
    <t>清新环境</t>
  </si>
  <si>
    <t>圣阳股份</t>
  </si>
  <si>
    <t>苏常柴A</t>
  </si>
  <si>
    <t>天富能源</t>
  </si>
  <si>
    <t>石油济柴</t>
  </si>
  <si>
    <t>渝开发</t>
  </si>
  <si>
    <t>复旦复华</t>
  </si>
  <si>
    <t>海大集团</t>
  </si>
  <si>
    <t>桐昆股份</t>
  </si>
  <si>
    <t>东方电子</t>
  </si>
  <si>
    <t>红宝利</t>
  </si>
  <si>
    <t>佳士科技</t>
  </si>
  <si>
    <t>紫光股份</t>
  </si>
  <si>
    <t>2015年9月2日、7日</t>
  </si>
  <si>
    <t>康芝药业</t>
  </si>
  <si>
    <t>天瑞仪器</t>
  </si>
  <si>
    <t>荣之联</t>
  </si>
  <si>
    <t>慈星股份</t>
  </si>
  <si>
    <t>星星科技</t>
  </si>
  <si>
    <t>宏达高科</t>
  </si>
  <si>
    <t>双星新材</t>
  </si>
  <si>
    <t>华孚色纺</t>
  </si>
  <si>
    <t>宁波华翔</t>
  </si>
  <si>
    <t>闰土股份</t>
  </si>
  <si>
    <t>长青股份</t>
  </si>
  <si>
    <t>鸿路钢构</t>
  </si>
  <si>
    <t>兴业银行</t>
  </si>
  <si>
    <t>嘉寓股份</t>
  </si>
  <si>
    <t>出版传媒</t>
  </si>
  <si>
    <t>六国化工</t>
  </si>
  <si>
    <t>新界泵业</t>
  </si>
  <si>
    <t>福能股份</t>
  </si>
  <si>
    <t>山东药玻</t>
  </si>
  <si>
    <t>林洋电子</t>
  </si>
  <si>
    <t>风神股份</t>
  </si>
  <si>
    <t>川仪股份</t>
  </si>
  <si>
    <t>太阳电缆</t>
  </si>
  <si>
    <t>冠城大通</t>
  </si>
  <si>
    <t>鄂尔多斯</t>
  </si>
  <si>
    <t>酒鬼酒</t>
  </si>
  <si>
    <t>平潭发展</t>
  </si>
  <si>
    <t>山大华特</t>
  </si>
  <si>
    <t>福晶科技</t>
  </si>
  <si>
    <t>ST三鑫</t>
  </si>
  <si>
    <t>2015年3月6日至12日</t>
  </si>
  <si>
    <t>启明星辰</t>
  </si>
  <si>
    <t>先河环保</t>
  </si>
  <si>
    <t>腾邦国际</t>
  </si>
  <si>
    <t>汉王科技</t>
  </si>
  <si>
    <t>中国宝安</t>
  </si>
  <si>
    <t>众和股份</t>
  </si>
  <si>
    <t>银江股份</t>
  </si>
  <si>
    <t>联络互动</t>
  </si>
  <si>
    <t>特锐德</t>
  </si>
  <si>
    <t>特力A</t>
  </si>
  <si>
    <t>易所试</t>
  </si>
  <si>
    <t>2015年8月6日至19日</t>
  </si>
  <si>
    <t>2015年8月7日至11月25日</t>
  </si>
  <si>
    <t>新华锦</t>
  </si>
  <si>
    <t>2015年2月9日至8月27日</t>
  </si>
  <si>
    <t>中钢天源</t>
  </si>
  <si>
    <t>安妮股份</t>
  </si>
  <si>
    <t>美好集团</t>
  </si>
  <si>
    <t>日机密封</t>
  </si>
  <si>
    <t>天玑科技</t>
  </si>
  <si>
    <t>模塑科技</t>
  </si>
  <si>
    <t>八一钢铁</t>
  </si>
  <si>
    <t>亚夏汽车</t>
  </si>
  <si>
    <t>通程控股</t>
  </si>
  <si>
    <t>2015年7月31日至8月5日</t>
  </si>
  <si>
    <t>日发精机</t>
  </si>
  <si>
    <t>ST建峰</t>
  </si>
  <si>
    <t>贵糖股份</t>
  </si>
  <si>
    <t>横店东磁</t>
  </si>
  <si>
    <t>金字火腿</t>
  </si>
  <si>
    <t>桐君阁</t>
  </si>
  <si>
    <t>恒康医疗</t>
  </si>
  <si>
    <t>新农开发</t>
  </si>
  <si>
    <t>四维图新</t>
  </si>
  <si>
    <t>二三四五</t>
  </si>
  <si>
    <t>台海核电</t>
  </si>
  <si>
    <t>精艺股份</t>
  </si>
  <si>
    <t>福达股份</t>
  </si>
  <si>
    <t>2016年7月5日至7月12日</t>
  </si>
  <si>
    <t>7月15日至7月18日</t>
  </si>
  <si>
    <t>铁岭新城</t>
  </si>
  <si>
    <t>2013年9月9日至12月26日</t>
  </si>
  <si>
    <t>中兴商业</t>
  </si>
  <si>
    <t>2013年1月4日至2014年5月26日</t>
  </si>
  <si>
    <t>操控时间极长</t>
  </si>
  <si>
    <t>市北高新</t>
  </si>
  <si>
    <t>双林股份</t>
  </si>
  <si>
    <t>海立美达</t>
  </si>
  <si>
    <t>温州宏丰</t>
  </si>
  <si>
    <t>西仪股份</t>
  </si>
  <si>
    <t>裕兴股份</t>
  </si>
  <si>
    <t>多伦股份</t>
  </si>
  <si>
    <t>2014年1月17日至2015年6月12日</t>
  </si>
  <si>
    <t>宁波富邦</t>
  </si>
  <si>
    <t>2014年10月23日至2015年9月16日</t>
  </si>
  <si>
    <t>小商品城</t>
  </si>
  <si>
    <t>2016年2月4日至6月23日</t>
  </si>
  <si>
    <t>同花顺</t>
  </si>
  <si>
    <t>2015年2月12日至3月23日</t>
  </si>
  <si>
    <t>杰赛科技</t>
  </si>
  <si>
    <t>2014年12月1日至2015年3月30日</t>
  </si>
  <si>
    <t>广发证券</t>
  </si>
  <si>
    <t>新希望</t>
  </si>
  <si>
    <t>2015年3月23日至2015年3月25日</t>
  </si>
  <si>
    <t>博云新材</t>
  </si>
  <si>
    <t>2015年3月24日至3月26日</t>
  </si>
  <si>
    <t>英威腾</t>
  </si>
  <si>
    <t>龙洲股份</t>
  </si>
  <si>
    <t>2014年7月4日至8月14日</t>
  </si>
  <si>
    <t>巨力索具</t>
  </si>
  <si>
    <t>隆基机械</t>
  </si>
  <si>
    <t>三维通信</t>
  </si>
  <si>
    <t>三湘股份</t>
  </si>
  <si>
    <t>华测检测</t>
  </si>
  <si>
    <t>开尔新材</t>
  </si>
  <si>
    <t>步步高</t>
  </si>
  <si>
    <t>长荣股份</t>
  </si>
  <si>
    <t>2014年8月25日至9月2日</t>
  </si>
  <si>
    <t>2014年9月9日至9月12日</t>
  </si>
  <si>
    <t>华意压缩</t>
  </si>
  <si>
    <t>2014年9月11日至9月25日</t>
  </si>
  <si>
    <t>北京利尔</t>
  </si>
  <si>
    <t>2014年9月11日至9月17日</t>
  </si>
  <si>
    <t>千足珍珠</t>
  </si>
  <si>
    <t>2014年9月22日至9月24日</t>
  </si>
  <si>
    <t>恒逸石化</t>
  </si>
  <si>
    <t>2014年10月15日至10月27日</t>
  </si>
  <si>
    <t>皖通高速</t>
  </si>
  <si>
    <t>2014年5月27日至6月3日</t>
  </si>
  <si>
    <t>南钢股份</t>
  </si>
  <si>
    <t>2014年7月16日至7月23日</t>
  </si>
  <si>
    <t>2014年12月5日至12月8日</t>
  </si>
  <si>
    <t>“辉丰股份”等6支股票</t>
  </si>
  <si>
    <t>辉丰股份</t>
  </si>
  <si>
    <t>汉缆股份</t>
  </si>
  <si>
    <t>国农科技</t>
  </si>
  <si>
    <t>广博股份</t>
  </si>
  <si>
    <t>富临精工</t>
  </si>
  <si>
    <t>网宿科技</t>
  </si>
  <si>
    <t>振芯科技</t>
  </si>
  <si>
    <t>通光线缆</t>
  </si>
  <si>
    <t>2015年5月6日至5月26日</t>
  </si>
  <si>
    <t>永贵电器</t>
  </si>
  <si>
    <t>3月31日、4月3日、4月9日、4月10日、4月15日、4月16日</t>
  </si>
  <si>
    <t>汉得信息</t>
  </si>
  <si>
    <t>司尔特</t>
  </si>
  <si>
    <t>3月6日、3月9日、3月10日</t>
  </si>
  <si>
    <t>力源信息</t>
  </si>
  <si>
    <t>4月20日、4月21日、4月23日</t>
  </si>
  <si>
    <t>宜安科技</t>
  </si>
  <si>
    <t>5月15日、5月19日、5月21日、5月25日</t>
  </si>
  <si>
    <t>快乐购</t>
  </si>
  <si>
    <t>2月17日、5月19日、5月20日、5月26日、5月27日、5月28日、5月29日、6月3日、6月5日</t>
  </si>
  <si>
    <t>云海金属</t>
  </si>
  <si>
    <t>万邦达</t>
  </si>
  <si>
    <t>4月29日、5月7日、5月8日</t>
  </si>
  <si>
    <t>凯发电气</t>
  </si>
  <si>
    <t>5月22日、5月27日、6月1日、6月2日、6月23日、6月25日、6月30日、7月2日</t>
  </si>
  <si>
    <t>卫士通</t>
  </si>
  <si>
    <t>新洋丰</t>
  </si>
  <si>
    <t>2014年8月19日至2014年9月25日</t>
  </si>
  <si>
    <t>利源精制</t>
  </si>
  <si>
    <t>万马股份</t>
  </si>
  <si>
    <t>博晖创新</t>
  </si>
  <si>
    <t>三泰电子</t>
  </si>
  <si>
    <t>北京君正</t>
  </si>
  <si>
    <t>富奥股份</t>
  </si>
  <si>
    <t>天原集团</t>
  </si>
  <si>
    <t>上海物贸</t>
  </si>
  <si>
    <t>襄阳轴承</t>
  </si>
  <si>
    <t>神剑股份</t>
  </si>
  <si>
    <t>国光股份</t>
  </si>
  <si>
    <t>鸿特精密</t>
  </si>
  <si>
    <t>金宇车城</t>
  </si>
  <si>
    <t>科恒股份</t>
  </si>
  <si>
    <t>万福生科</t>
  </si>
  <si>
    <t>美都能源</t>
  </si>
  <si>
    <t>石英股份</t>
  </si>
  <si>
    <t>中科英华</t>
  </si>
  <si>
    <t>东风汽车</t>
  </si>
  <si>
    <t>安阳钢铁</t>
  </si>
  <si>
    <t>理工监测</t>
  </si>
  <si>
    <t>国元证券</t>
  </si>
  <si>
    <t>吉林敖东</t>
  </si>
  <si>
    <t>西部证券</t>
  </si>
  <si>
    <t>美欣达</t>
  </si>
  <si>
    <t>2012年12月14日至12月18日</t>
  </si>
  <si>
    <t>2013年1月30日至2月5日</t>
  </si>
  <si>
    <t>科新机电</t>
  </si>
  <si>
    <t>2012年12月17日至12月20日</t>
  </si>
  <si>
    <t>2013年1月4日至1月9日</t>
  </si>
  <si>
    <t>经纬电材</t>
  </si>
  <si>
    <t>2012年12月25日至12月27日</t>
  </si>
  <si>
    <t>2013年2月18日至2月21日</t>
  </si>
  <si>
    <t>科泰电源</t>
  </si>
  <si>
    <t>凯撒股份</t>
  </si>
  <si>
    <t>2012年12月18日至12月21日</t>
  </si>
  <si>
    <t>2012年12月18日至12月26日</t>
  </si>
  <si>
    <t>摩恩电气</t>
  </si>
  <si>
    <t>2013年1月29日至1月31日</t>
  </si>
  <si>
    <t>2013年2月25日至3月4日</t>
  </si>
  <si>
    <t>天龙集团</t>
  </si>
  <si>
    <t>2013年1月7日至1月11日</t>
  </si>
  <si>
    <t>九洲电气</t>
  </si>
  <si>
    <t>量子高科</t>
  </si>
  <si>
    <t>2014年5月8日、9日、21日</t>
  </si>
  <si>
    <t>首旅酒店</t>
  </si>
  <si>
    <t>2013年9月23日至2014年8月27日</t>
  </si>
  <si>
    <t>劲嘉股份</t>
  </si>
  <si>
    <t>2013年5月21日至2014年4月22日</t>
  </si>
  <si>
    <t>珠江啤酒</t>
  </si>
  <si>
    <t>2014年1月9日至10月15日</t>
  </si>
  <si>
    <t>渤海活塞</t>
  </si>
  <si>
    <t>2014年8月6日至2015年5月4日</t>
  </si>
  <si>
    <t>2015年7月10日至8月28日</t>
  </si>
  <si>
    <t>2015年7月20日至8月28日</t>
  </si>
  <si>
    <t>飞马国际</t>
  </si>
  <si>
    <t>元力股份</t>
  </si>
  <si>
    <t>宏达新材</t>
  </si>
  <si>
    <t>2014年5月29日至2014年12月9日</t>
  </si>
  <si>
    <t>案件较复杂，时间区间为宣判书给出的范围，但并非这期间每天都有操纵行为</t>
  </si>
  <si>
    <t>金禾实业</t>
  </si>
  <si>
    <t>2014年11月3日至2015年3月17日</t>
  </si>
  <si>
    <t>北海港</t>
  </si>
  <si>
    <t>2013年1月15日至5月10日</t>
  </si>
  <si>
    <t>宝泰隆</t>
  </si>
  <si>
    <t>2013年8月15日至2014年1月6日</t>
  </si>
  <si>
    <t>上工申贝</t>
  </si>
  <si>
    <t>2013年3月20日至28日</t>
  </si>
  <si>
    <t>长江传媒</t>
  </si>
  <si>
    <t>2013年3月25日至4月2日</t>
  </si>
  <si>
    <t>旗滨集团</t>
  </si>
  <si>
    <t>2013年3月26日至4月8日</t>
  </si>
  <si>
    <t>银基发展</t>
  </si>
  <si>
    <t>2012年4月13日至2012年12月31日</t>
  </si>
  <si>
    <t>F1003006.00</t>
  </si>
  <si>
    <t>中海阳</t>
  </si>
  <si>
    <t>2015年3月12日至23日</t>
  </si>
  <si>
    <t>002201.SZ</t>
  </si>
  <si>
    <t>九鼎新材</t>
  </si>
  <si>
    <t>2013年10月10日至11月14日</t>
  </si>
  <si>
    <t>002089.SZ</t>
  </si>
  <si>
    <t>新海股份</t>
  </si>
  <si>
    <t>2014年1月28日至3月27日</t>
  </si>
  <si>
    <t>300141.SZ</t>
  </si>
  <si>
    <t>和顺电气</t>
  </si>
  <si>
    <t>2011年11月23日至24日</t>
  </si>
  <si>
    <t>002367.SZ</t>
  </si>
  <si>
    <t>康力电梯</t>
  </si>
  <si>
    <t>002482.SZ</t>
  </si>
  <si>
    <t>广田股份</t>
  </si>
  <si>
    <t>300091.SZ</t>
  </si>
  <si>
    <t>金通灵</t>
  </si>
  <si>
    <t>002473.SZ</t>
  </si>
  <si>
    <t>圣莱达</t>
  </si>
  <si>
    <t>300253.SZ</t>
  </si>
  <si>
    <t>卫宁软件</t>
  </si>
  <si>
    <t>300206.SZ</t>
  </si>
  <si>
    <t>理邦仪器</t>
  </si>
  <si>
    <t>002075.SZ</t>
  </si>
  <si>
    <t>沙钢股份</t>
  </si>
  <si>
    <t>002231.SZ</t>
  </si>
  <si>
    <t>奥维通信</t>
  </si>
  <si>
    <t>002672.SZ</t>
  </si>
  <si>
    <t>东江环保</t>
  </si>
  <si>
    <t>002428.SZ</t>
  </si>
  <si>
    <t>002423.SZ</t>
  </si>
  <si>
    <t>中原特钢</t>
  </si>
  <si>
    <t>000061.SZ</t>
  </si>
  <si>
    <t>农产品</t>
  </si>
  <si>
    <t>002183.SZ</t>
  </si>
  <si>
    <t>怡亚通</t>
  </si>
  <si>
    <t>300217.SZ</t>
  </si>
  <si>
    <t>东方电热</t>
  </si>
  <si>
    <t>002303.SZ</t>
  </si>
  <si>
    <t>美盈森</t>
  </si>
  <si>
    <t>688639.SH</t>
  </si>
  <si>
    <t>华恒生物</t>
  </si>
  <si>
    <t>2015年3月17日至27日</t>
  </si>
  <si>
    <t>831879.NQ</t>
  </si>
  <si>
    <t>龙钇科技</t>
  </si>
  <si>
    <t>2015年2月26日至3月9日</t>
  </si>
  <si>
    <t>430252.NQ</t>
  </si>
  <si>
    <t>联宇技术</t>
  </si>
  <si>
    <t>2015年3月23日至4月3日</t>
  </si>
  <si>
    <t>430170.NQ</t>
  </si>
  <si>
    <t>金易通</t>
  </si>
  <si>
    <t>2015年3月12日至25日</t>
  </si>
  <si>
    <t>430572.NQ</t>
  </si>
  <si>
    <t>奥普节能</t>
  </si>
  <si>
    <t>831690.NQ</t>
  </si>
  <si>
    <t>恒升机床</t>
  </si>
  <si>
    <t>2015年3月23日至27日</t>
  </si>
  <si>
    <t>430245.NQ</t>
  </si>
  <si>
    <t>奥特美克</t>
  </si>
  <si>
    <t>2015年3月20日至26日</t>
  </si>
  <si>
    <t>831506.NQ</t>
  </si>
  <si>
    <t>昌信农贷</t>
  </si>
  <si>
    <t>2015年3月26日至30日</t>
  </si>
  <si>
    <t>430269.NQ</t>
  </si>
  <si>
    <t>新网程</t>
  </si>
  <si>
    <t>430749.NQ</t>
  </si>
  <si>
    <t>金化高容</t>
  </si>
  <si>
    <t>830785.NQ</t>
  </si>
  <si>
    <t>冰洋科技</t>
  </si>
  <si>
    <t>831441.NQ</t>
  </si>
  <si>
    <t>瓷爵士</t>
  </si>
  <si>
    <t>2015年3月3日至24日</t>
  </si>
  <si>
    <t>430762.NQ</t>
  </si>
  <si>
    <t>荣昌育种</t>
  </si>
  <si>
    <t>430016.NQ</t>
  </si>
  <si>
    <t>胜龙科技</t>
  </si>
  <si>
    <t>2015年3月4日至11日</t>
  </si>
  <si>
    <t>430134.NQ</t>
  </si>
  <si>
    <t>可来博</t>
  </si>
  <si>
    <t>2015年3月10日至25日</t>
  </si>
  <si>
    <t>830802.NQ</t>
  </si>
  <si>
    <t>金象传动</t>
  </si>
  <si>
    <t>831052.NQ</t>
  </si>
  <si>
    <t>金开利</t>
  </si>
  <si>
    <t>430090.BJ</t>
  </si>
  <si>
    <t>同辉佳视</t>
  </si>
  <si>
    <t>2015年1月16日至3月30日</t>
  </si>
  <si>
    <t>600118.SH</t>
  </si>
  <si>
    <t>中国卫星</t>
  </si>
  <si>
    <t>2015年7月16日至20日</t>
  </si>
  <si>
    <t>002024.SZ</t>
  </si>
  <si>
    <t>苏宁云商</t>
  </si>
  <si>
    <t>2015年6月1日至7月31日</t>
  </si>
  <si>
    <t>600466.SH</t>
  </si>
  <si>
    <t>蓝光发展</t>
  </si>
  <si>
    <t>000750.SZ</t>
  </si>
  <si>
    <t>国海证券</t>
  </si>
  <si>
    <t>300359.SZ</t>
  </si>
  <si>
    <t>全通教育</t>
  </si>
  <si>
    <t>2015年3月16日及3月20日</t>
  </si>
  <si>
    <t>002657.SZ</t>
  </si>
  <si>
    <t>中科金财</t>
  </si>
  <si>
    <t>002193.SZ</t>
  </si>
  <si>
    <t>如意集团</t>
  </si>
  <si>
    <t>2015年1月30日、2月25日、2月26日、3月5日</t>
  </si>
  <si>
    <t>002673.SZ</t>
  </si>
  <si>
    <t>300338.SZ</t>
  </si>
  <si>
    <t>开元仪器</t>
  </si>
  <si>
    <t>002681.SZ</t>
  </si>
  <si>
    <t>奋达科技</t>
  </si>
  <si>
    <t>300378.SZ</t>
  </si>
  <si>
    <t>300431.SZ</t>
  </si>
  <si>
    <t>暴风科技</t>
  </si>
  <si>
    <t>300162.SZ</t>
  </si>
  <si>
    <t>雷曼股份</t>
  </si>
  <si>
    <t>000062.SZ</t>
  </si>
  <si>
    <t>深圳华强</t>
  </si>
  <si>
    <t>002746.SZ</t>
  </si>
  <si>
    <t>仙坛股份</t>
  </si>
  <si>
    <t>300013.SZ</t>
  </si>
  <si>
    <t>新宁物流</t>
  </si>
  <si>
    <t>300085.SZ</t>
  </si>
  <si>
    <t>银之杰</t>
  </si>
  <si>
    <t>002552.SZ</t>
  </si>
  <si>
    <t>宝鼎重工</t>
  </si>
  <si>
    <t>2012年10月31日至2013年7月8日</t>
  </si>
  <si>
    <t>300280.SZ</t>
  </si>
  <si>
    <t>南通锻压</t>
  </si>
  <si>
    <t>000802.SZ</t>
  </si>
  <si>
    <t>北京旅游</t>
  </si>
  <si>
    <t>000721.SZ</t>
  </si>
  <si>
    <t>西安饮食</t>
  </si>
  <si>
    <t>2013年2月6日至3月1日</t>
  </si>
  <si>
    <t>002442.SZ</t>
  </si>
  <si>
    <t>龙星化工</t>
  </si>
  <si>
    <t>2013年1月30日至3月7日</t>
  </si>
  <si>
    <t>000593.SZ</t>
  </si>
  <si>
    <t>大通燃气</t>
  </si>
  <si>
    <t>2013年1月29日至2月8日</t>
  </si>
  <si>
    <t>430583.NQ</t>
  </si>
  <si>
    <t>国贸酝领</t>
  </si>
  <si>
    <t>2014年12月30日至2015年5月13日</t>
  </si>
  <si>
    <t>000511.SZ</t>
  </si>
  <si>
    <t>2012年8月1日至13日、9月6日至10日</t>
  </si>
  <si>
    <t>002296.SZ</t>
  </si>
  <si>
    <t>辉煌科技</t>
  </si>
  <si>
    <t>600148.SH</t>
  </si>
  <si>
    <t>长春一东</t>
  </si>
  <si>
    <t>600191.SH</t>
  </si>
  <si>
    <t>华资实业</t>
  </si>
  <si>
    <t>2012年2月27日至3月2日</t>
  </si>
  <si>
    <t>000703.SZ</t>
  </si>
  <si>
    <t>2011年6月8日至6月16日</t>
  </si>
  <si>
    <t>600745.SH</t>
  </si>
  <si>
    <t>中茵股份</t>
  </si>
  <si>
    <t>2011年3月10日至4月14日</t>
  </si>
  <si>
    <t>000157.SZ</t>
  </si>
  <si>
    <t>中联重科</t>
  </si>
  <si>
    <t>000962.SZ</t>
  </si>
  <si>
    <t>东方钽业</t>
  </si>
  <si>
    <t>000878.SZ</t>
  </si>
  <si>
    <t>云南铜业</t>
  </si>
  <si>
    <t>000338.SZ</t>
  </si>
  <si>
    <t>潍柴动力</t>
  </si>
  <si>
    <t>000153.SZ</t>
  </si>
  <si>
    <t>丰原药业</t>
  </si>
  <si>
    <t>000935.SZ</t>
  </si>
  <si>
    <t>四川双马</t>
  </si>
  <si>
    <t>XT132780.XT</t>
  </si>
  <si>
    <t>新都酒店</t>
  </si>
  <si>
    <t>600199.SH</t>
  </si>
  <si>
    <t>金种子酒</t>
  </si>
  <si>
    <t>002500.SZ</t>
  </si>
  <si>
    <t>山西证券</t>
  </si>
  <si>
    <t>601098.SH</t>
  </si>
  <si>
    <t>中南传媒</t>
  </si>
  <si>
    <t>000506.SZ</t>
  </si>
  <si>
    <t>中润资源</t>
  </si>
  <si>
    <t>002396.SZ</t>
  </si>
  <si>
    <t>星网锐捷</t>
  </si>
  <si>
    <t>000970.SZ</t>
  </si>
  <si>
    <t>中科三环</t>
  </si>
  <si>
    <t>000965.SZ</t>
  </si>
  <si>
    <t>天保基建</t>
  </si>
  <si>
    <t>2012年1月9日至2月22日</t>
  </si>
  <si>
    <t>捷成股份</t>
  </si>
  <si>
    <t>2011年6月2日至2011年7月6日</t>
  </si>
  <si>
    <t>2011年7月8日至2011年7月13日</t>
  </si>
  <si>
    <t>ST中冠A</t>
  </si>
  <si>
    <t>2012年9月10日至9月28日</t>
  </si>
  <si>
    <t>成飞集成</t>
  </si>
  <si>
    <t>2010年1月19日至4月2日</t>
  </si>
  <si>
    <t>众合机电</t>
  </si>
  <si>
    <t>2010年3月29日至4月30日</t>
  </si>
  <si>
    <t>航天动力</t>
  </si>
  <si>
    <t>2010年4月2日至7月28日</t>
  </si>
  <si>
    <t>ST波导</t>
  </si>
  <si>
    <t>ST洛玻</t>
  </si>
  <si>
    <t>2009年12月3日至2010年7月15日</t>
  </si>
  <si>
    <t>400252.SZ</t>
    <phoneticPr fontId="1" type="noConversion"/>
  </si>
  <si>
    <t>002721.SZ</t>
    <phoneticPr fontId="1" type="noConversion"/>
  </si>
  <si>
    <t>300400.SZ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</si>
</sst>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&quot;年&quot;m&quot;月&quot;d&quot;日&quot;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justify" vertical="center"/>
    </xf>
    <xf numFmtId="31" fontId="0" fillId="0" borderId="0" xfId="0" applyNumberFormat="1">
      <alignment vertical="center"/>
    </xf>
    <xf numFmtId="177" fontId="0" fillId="0" borderId="0" xfId="0" applyNumberFormat="1">
      <alignment vertical="center"/>
    </xf>
    <xf numFmtId="31" fontId="2" fillId="0" borderId="0" xfId="0" applyNumberFormat="1" applyFont="1">
      <alignment vertical="center"/>
    </xf>
    <xf numFmtId="58" fontId="2" fillId="0" borderId="0" xfId="0" applyNumberFormat="1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User\xwechat_files\wxid_vhmeutrfvhjd22_12a9\msg\file\2026-03\&#25805;&#20316;&#22788;&#32602;&#26696;&#20363;&#35760;&#24405;_20240515_v4.xlsx" TargetMode="External"/><Relationship Id="rId1" Type="http://schemas.openxmlformats.org/officeDocument/2006/relationships/externalLinkPath" Target="/Users/User/xwechat_files/wxid_vhmeutrfvhjd22_12a9/msg/file/2026-03/&#25805;&#20316;&#22788;&#32602;&#26696;&#20363;&#35760;&#24405;_20240515_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操作处罚记录"/>
      <sheetName val="全部股票代码（手动检索）"/>
      <sheetName val="部分股票代码"/>
      <sheetName val="补充空白与2019"/>
      <sheetName val="补充空白与2019的股票代码"/>
      <sheetName val="部分空白与2019的股票代码"/>
      <sheetName val="2012至2018处罚文本"/>
      <sheetName val="2014-2015股票代码"/>
      <sheetName val="2014-2015部分股票代码"/>
      <sheetName val="2012-2013与2016-2018股票代码"/>
      <sheetName val="2012-2013与2016-2018部分股票代码"/>
    </sheetNames>
    <sheetDataSet>
      <sheetData sheetId="0"/>
      <sheetData sheetId="1">
        <row r="1">
          <cell r="A1" t="str">
            <v>股票名称</v>
          </cell>
        </row>
        <row r="2">
          <cell r="A2" t="str">
            <v>电光科技</v>
          </cell>
          <cell r="B2" t="str">
            <v>002730.SZ</v>
          </cell>
        </row>
        <row r="3">
          <cell r="A3" t="str">
            <v>美尚生态</v>
          </cell>
          <cell r="B3" t="str">
            <v>F1007420.00</v>
          </cell>
        </row>
        <row r="4">
          <cell r="A4" t="str">
            <v>利德曼</v>
          </cell>
          <cell r="B4" t="str">
            <v>300289.SZ</v>
          </cell>
        </row>
        <row r="5">
          <cell r="A5" t="str">
            <v>艾迪精密</v>
          </cell>
          <cell r="B5" t="str">
            <v>603638.SH</v>
          </cell>
        </row>
        <row r="6">
          <cell r="A6" t="str">
            <v>森源电气</v>
          </cell>
          <cell r="B6" t="str">
            <v>002358.SZ</v>
          </cell>
        </row>
        <row r="7">
          <cell r="A7" t="str">
            <v>昊志机电</v>
          </cell>
          <cell r="B7" t="str">
            <v>300503.SZ</v>
          </cell>
        </row>
        <row r="8">
          <cell r="A8" t="str">
            <v>金一文化</v>
          </cell>
          <cell r="B8" t="str">
            <v>F1002802.00</v>
          </cell>
        </row>
        <row r="9">
          <cell r="A9" t="str">
            <v>利民股份</v>
          </cell>
          <cell r="B9" t="str">
            <v>002734.SZ</v>
          </cell>
        </row>
        <row r="10">
          <cell r="A10" t="str">
            <v>兰太实业</v>
          </cell>
          <cell r="B10" t="str">
            <v>600328.SH</v>
          </cell>
        </row>
        <row r="11">
          <cell r="A11" t="str">
            <v>维力医疗</v>
          </cell>
          <cell r="B11" t="str">
            <v>603309.SH</v>
          </cell>
        </row>
        <row r="12">
          <cell r="A12" t="str">
            <v>金自天正</v>
          </cell>
          <cell r="B12" t="str">
            <v>600560.SH</v>
          </cell>
        </row>
        <row r="13">
          <cell r="A13" t="str">
            <v>桂东电力</v>
          </cell>
          <cell r="B13" t="str">
            <v>600310.SH</v>
          </cell>
        </row>
        <row r="14">
          <cell r="A14" t="str">
            <v>吉艾科技</v>
          </cell>
          <cell r="B14" t="str">
            <v>300309.SZ</v>
          </cell>
        </row>
        <row r="15">
          <cell r="A15" t="str">
            <v>英特集团</v>
          </cell>
          <cell r="B15" t="str">
            <v>000411.SZ</v>
          </cell>
        </row>
        <row r="16">
          <cell r="A16" t="str">
            <v>正虹科技</v>
          </cell>
          <cell r="B16" t="str">
            <v>000702.SZ</v>
          </cell>
        </row>
        <row r="17">
          <cell r="A17" t="str">
            <v>亚太实业</v>
          </cell>
          <cell r="B17" t="str">
            <v>000691.SZ</v>
          </cell>
        </row>
        <row r="18">
          <cell r="A18" t="str">
            <v>杭州高新</v>
          </cell>
          <cell r="B18" t="str">
            <v>300478.SZ</v>
          </cell>
        </row>
        <row r="19">
          <cell r="A19" t="str">
            <v>凯瑞德</v>
          </cell>
          <cell r="B19" t="str">
            <v>002072.SZ</v>
          </cell>
        </row>
        <row r="20">
          <cell r="A20" t="str">
            <v>天广消防</v>
          </cell>
          <cell r="B20" t="str">
            <v>002509.SZ</v>
          </cell>
        </row>
        <row r="21">
          <cell r="A21" t="str">
            <v>天马精化</v>
          </cell>
          <cell r="B21" t="str">
            <v>002453.SZ</v>
          </cell>
        </row>
        <row r="22">
          <cell r="A22" t="str">
            <v>嘉应制药</v>
          </cell>
          <cell r="B22" t="str">
            <v>002198.SZ</v>
          </cell>
        </row>
        <row r="23">
          <cell r="A23" t="str">
            <v>凤形股份</v>
          </cell>
          <cell r="B23" t="str">
            <v>002760.SZ</v>
          </cell>
        </row>
        <row r="24">
          <cell r="A24" t="str">
            <v>新日恒力</v>
          </cell>
          <cell r="B24" t="str">
            <v>600165.SH</v>
          </cell>
        </row>
        <row r="25">
          <cell r="A25" t="str">
            <v>道尔智控</v>
          </cell>
          <cell r="B25" t="str">
            <v>832966.NQ</v>
          </cell>
        </row>
        <row r="26">
          <cell r="A26" t="str">
            <v>力盛运动</v>
          </cell>
          <cell r="B26" t="str">
            <v>002858.SZ</v>
          </cell>
        </row>
        <row r="27">
          <cell r="A27" t="str">
            <v>凤形股份</v>
          </cell>
          <cell r="B27" t="str">
            <v>002760.SZ</v>
          </cell>
        </row>
        <row r="28">
          <cell r="A28" t="str">
            <v>当代东方</v>
          </cell>
          <cell r="B28" t="str">
            <v>000673.SZ</v>
          </cell>
        </row>
        <row r="29">
          <cell r="A29" t="str">
            <v>朗迪集团</v>
          </cell>
          <cell r="B29" t="str">
            <v>603726.SH</v>
          </cell>
        </row>
        <row r="30">
          <cell r="A30" t="str">
            <v>丽岛新材</v>
          </cell>
          <cell r="B30" t="str">
            <v>603937.SH</v>
          </cell>
        </row>
        <row r="31">
          <cell r="A31" t="str">
            <v>麦迪电气</v>
          </cell>
          <cell r="B31" t="str">
            <v>300341.SZ</v>
          </cell>
        </row>
        <row r="32">
          <cell r="A32" t="str">
            <v>初灵信息</v>
          </cell>
          <cell r="B32" t="str">
            <v>300250.SZ</v>
          </cell>
        </row>
        <row r="33">
          <cell r="A33" t="str">
            <v>深桑达A</v>
          </cell>
          <cell r="B33" t="str">
            <v>000032.SZ</v>
          </cell>
        </row>
        <row r="34">
          <cell r="A34" t="str">
            <v>恒锋信息</v>
          </cell>
          <cell r="B34" t="str">
            <v>300605.SZ</v>
          </cell>
        </row>
        <row r="35">
          <cell r="A35" t="str">
            <v>中广天择</v>
          </cell>
          <cell r="B35" t="str">
            <v>603721.SH</v>
          </cell>
        </row>
        <row r="36">
          <cell r="A36" t="str">
            <v>天药股份</v>
          </cell>
          <cell r="B36" t="str">
            <v>600488.SH</v>
          </cell>
        </row>
        <row r="37">
          <cell r="A37" t="str">
            <v>华电重工</v>
          </cell>
          <cell r="B37" t="str">
            <v>601226.SH</v>
          </cell>
        </row>
        <row r="38">
          <cell r="A38" t="str">
            <v>龙建股份</v>
          </cell>
          <cell r="B38" t="str">
            <v>600853.SH</v>
          </cell>
        </row>
        <row r="39">
          <cell r="A39" t="str">
            <v>柏堡龙</v>
          </cell>
          <cell r="B39" t="str">
            <v>002776.SZ</v>
          </cell>
        </row>
        <row r="40">
          <cell r="A40" t="str">
            <v>长春燃气</v>
          </cell>
          <cell r="B40" t="str">
            <v>600333.SH</v>
          </cell>
        </row>
        <row r="41">
          <cell r="A41" t="str">
            <v>新美星</v>
          </cell>
          <cell r="B41" t="str">
            <v>300509.SZ</v>
          </cell>
        </row>
        <row r="42">
          <cell r="A42" t="str">
            <v>天龙股份</v>
          </cell>
          <cell r="B42" t="str">
            <v>603266.SH</v>
          </cell>
        </row>
        <row r="43">
          <cell r="A43" t="str">
            <v>水星家纺</v>
          </cell>
          <cell r="B43" t="str">
            <v>603365.SH</v>
          </cell>
        </row>
        <row r="44">
          <cell r="A44" t="str">
            <v>横河模具</v>
          </cell>
          <cell r="B44" t="str">
            <v>300539.SZ</v>
          </cell>
        </row>
        <row r="45">
          <cell r="A45" t="str">
            <v>延江股份</v>
          </cell>
          <cell r="B45" t="str">
            <v>300658.SZ</v>
          </cell>
        </row>
        <row r="46">
          <cell r="A46" t="str">
            <v>济民医疗</v>
          </cell>
          <cell r="B46" t="str">
            <v>603222.SH</v>
          </cell>
        </row>
        <row r="47">
          <cell r="A47" t="str">
            <v>延华智能</v>
          </cell>
          <cell r="B47" t="str">
            <v>002178.SZ</v>
          </cell>
        </row>
        <row r="48">
          <cell r="A48" t="str">
            <v>三夫户外</v>
          </cell>
          <cell r="B48" t="str">
            <v>002780.SZ</v>
          </cell>
        </row>
        <row r="49">
          <cell r="A49" t="str">
            <v>汇金通</v>
          </cell>
          <cell r="B49" t="str">
            <v>603577.SH</v>
          </cell>
        </row>
        <row r="50">
          <cell r="A50" t="str">
            <v>得邦照明</v>
          </cell>
          <cell r="B50" t="str">
            <v>603303.SH</v>
          </cell>
        </row>
        <row r="51">
          <cell r="A51" t="str">
            <v>吉林高速</v>
          </cell>
          <cell r="B51" t="str">
            <v>601518.SH</v>
          </cell>
        </row>
        <row r="52">
          <cell r="A52" t="str">
            <v>大连热电</v>
          </cell>
          <cell r="B52" t="str">
            <v>600719.SH</v>
          </cell>
        </row>
        <row r="53">
          <cell r="A53" t="str">
            <v>宜宾纸业</v>
          </cell>
          <cell r="B53" t="str">
            <v>600793.SH</v>
          </cell>
        </row>
        <row r="54">
          <cell r="A54" t="str">
            <v>绿城水务</v>
          </cell>
          <cell r="B54" t="str">
            <v>601368.SH</v>
          </cell>
        </row>
        <row r="55">
          <cell r="A55" t="str">
            <v>宁波热电</v>
          </cell>
          <cell r="B55" t="str">
            <v>600982.SH</v>
          </cell>
        </row>
        <row r="56">
          <cell r="A56" t="str">
            <v>哈森股份</v>
          </cell>
          <cell r="B56" t="str">
            <v>603958.SH</v>
          </cell>
        </row>
        <row r="57">
          <cell r="A57" t="str">
            <v>友邦吊顶</v>
          </cell>
          <cell r="B57" t="str">
            <v>002718.SZ</v>
          </cell>
        </row>
        <row r="58">
          <cell r="A58" t="str">
            <v>大庆华科</v>
          </cell>
          <cell r="B58" t="str">
            <v>000985.SZ</v>
          </cell>
        </row>
        <row r="59">
          <cell r="A59" t="str">
            <v>昇兴股份</v>
          </cell>
          <cell r="B59" t="str">
            <v>002752.SZ</v>
          </cell>
        </row>
        <row r="60">
          <cell r="A60" t="str">
            <v>ST天业</v>
          </cell>
          <cell r="B60" t="str">
            <v>600807.SH</v>
          </cell>
        </row>
        <row r="61">
          <cell r="A61" t="str">
            <v>宜华健康</v>
          </cell>
          <cell r="B61" t="str">
            <v>000150.SZ</v>
          </cell>
        </row>
        <row r="62">
          <cell r="A62" t="str">
            <v>上柴股份</v>
          </cell>
          <cell r="B62" t="str">
            <v>600841.SH</v>
          </cell>
        </row>
        <row r="63">
          <cell r="A63" t="str">
            <v>新莱应材</v>
          </cell>
          <cell r="B63" t="str">
            <v>300260.SZ</v>
          </cell>
        </row>
        <row r="64">
          <cell r="A64" t="str">
            <v>三星新材</v>
          </cell>
          <cell r="B64" t="str">
            <v>603578.SH</v>
          </cell>
        </row>
        <row r="65">
          <cell r="A65" t="str">
            <v>安德利</v>
          </cell>
          <cell r="B65" t="str">
            <v>605198.SH</v>
          </cell>
        </row>
        <row r="66">
          <cell r="A66" t="str">
            <v>君禾股份</v>
          </cell>
          <cell r="B66" t="str">
            <v>603617.SH</v>
          </cell>
        </row>
        <row r="67">
          <cell r="A67" t="str">
            <v>第一医药</v>
          </cell>
          <cell r="B67" t="str">
            <v>600833.SH</v>
          </cell>
        </row>
        <row r="68">
          <cell r="A68" t="str">
            <v>梅轮电梯</v>
          </cell>
          <cell r="B68" t="str">
            <v>603321.SH</v>
          </cell>
        </row>
        <row r="69">
          <cell r="A69" t="str">
            <v>康惠制药</v>
          </cell>
          <cell r="B69" t="str">
            <v>603139.SH</v>
          </cell>
        </row>
        <row r="70">
          <cell r="A70" t="str">
            <v>亚振家居</v>
          </cell>
          <cell r="B70" t="str">
            <v>603389.SH</v>
          </cell>
        </row>
        <row r="71">
          <cell r="A71" t="str">
            <v>诺邦股份</v>
          </cell>
          <cell r="B71" t="str">
            <v>603238.SH</v>
          </cell>
        </row>
        <row r="72">
          <cell r="A72" t="str">
            <v>圣龙股份</v>
          </cell>
          <cell r="B72" t="str">
            <v>603178.SH</v>
          </cell>
        </row>
        <row r="73">
          <cell r="A73" t="str">
            <v>金新农</v>
          </cell>
          <cell r="B73" t="str">
            <v>002548.SZ</v>
          </cell>
        </row>
        <row r="74">
          <cell r="A74" t="str">
            <v>天铁股份</v>
          </cell>
          <cell r="B74" t="str">
            <v>300587.SZ</v>
          </cell>
        </row>
        <row r="75">
          <cell r="A75" t="str">
            <v>嘉澳环保</v>
          </cell>
          <cell r="B75" t="str">
            <v>603822.SH</v>
          </cell>
        </row>
        <row r="76">
          <cell r="A76" t="str">
            <v>鼎捷软件</v>
          </cell>
          <cell r="B76" t="str">
            <v>300378.SZ</v>
          </cell>
        </row>
        <row r="77">
          <cell r="A77" t="str">
            <v>瑞普生物</v>
          </cell>
          <cell r="B77" t="str">
            <v>300119.SZ</v>
          </cell>
        </row>
        <row r="78">
          <cell r="A78" t="str">
            <v>新光圆成</v>
          </cell>
          <cell r="B78" t="str">
            <v>002147.SZ</v>
          </cell>
        </row>
        <row r="79">
          <cell r="A79" t="str">
            <v>仁东控股</v>
          </cell>
          <cell r="B79" t="str">
            <v>002647.SZ</v>
          </cell>
        </row>
        <row r="80">
          <cell r="A80" t="str">
            <v>天山生物</v>
          </cell>
          <cell r="B80" t="str">
            <v>300313.SZ</v>
          </cell>
        </row>
        <row r="81">
          <cell r="A81" t="str">
            <v>百合花</v>
          </cell>
          <cell r="B81" t="str">
            <v>603823.SH</v>
          </cell>
        </row>
        <row r="82">
          <cell r="A82" t="str">
            <v>福建金森</v>
          </cell>
          <cell r="B82" t="str">
            <v>002679.SZ</v>
          </cell>
        </row>
        <row r="83">
          <cell r="A83" t="str">
            <v>华鼎股份</v>
          </cell>
          <cell r="B83" t="str">
            <v>601113.SH</v>
          </cell>
        </row>
        <row r="84">
          <cell r="A84" t="str">
            <v>新华医疗</v>
          </cell>
          <cell r="B84" t="str">
            <v>600587.SH</v>
          </cell>
        </row>
        <row r="85">
          <cell r="A85" t="str">
            <v>弘宇股份</v>
          </cell>
          <cell r="B85" t="str">
            <v>002890.SZ</v>
          </cell>
        </row>
        <row r="86">
          <cell r="A86" t="str">
            <v>吉林森工</v>
          </cell>
          <cell r="B86" t="str">
            <v>600189.SH</v>
          </cell>
        </row>
        <row r="87">
          <cell r="A87" t="str">
            <v>中昌数据</v>
          </cell>
          <cell r="B87" t="str">
            <v>600242.SH</v>
          </cell>
        </row>
        <row r="88">
          <cell r="A88" t="str">
            <v>华仁药业</v>
          </cell>
          <cell r="B88" t="str">
            <v>300110.SZ</v>
          </cell>
        </row>
        <row r="89">
          <cell r="A89" t="str">
            <v>科菲特</v>
          </cell>
          <cell r="B89" t="str">
            <v>837367.NQ</v>
          </cell>
        </row>
        <row r="90">
          <cell r="A90" t="str">
            <v>华平股份</v>
          </cell>
          <cell r="B90" t="str">
            <v>300074.SZ</v>
          </cell>
        </row>
        <row r="91">
          <cell r="A91" t="str">
            <v>公准股份</v>
          </cell>
          <cell r="B91" t="str">
            <v>830916.NQ</v>
          </cell>
        </row>
        <row r="92">
          <cell r="A92" t="str">
            <v>德美化工</v>
          </cell>
          <cell r="B92" t="str">
            <v>002054.SZ</v>
          </cell>
        </row>
        <row r="93">
          <cell r="A93" t="str">
            <v>梅花生物</v>
          </cell>
          <cell r="B93" t="str">
            <v>600873.SH</v>
          </cell>
        </row>
        <row r="94">
          <cell r="A94" t="str">
            <v>聚隆科技</v>
          </cell>
          <cell r="B94" t="str">
            <v>300475.SZ</v>
          </cell>
        </row>
        <row r="95">
          <cell r="A95" t="str">
            <v>ST北讯</v>
          </cell>
          <cell r="B95" t="str">
            <v>400154.NQ</v>
          </cell>
        </row>
        <row r="96">
          <cell r="A96" t="str">
            <v>正平股份</v>
          </cell>
          <cell r="B96" t="str">
            <v>603843.SH</v>
          </cell>
        </row>
        <row r="97">
          <cell r="A97" t="str">
            <v>阿波罗</v>
          </cell>
          <cell r="B97" t="str">
            <v>832568.NQ</v>
          </cell>
        </row>
        <row r="98">
          <cell r="A98" t="str">
            <v>凯瑞德</v>
          </cell>
          <cell r="B98" t="str">
            <v>002072.SZ</v>
          </cell>
        </row>
        <row r="99">
          <cell r="A99" t="str">
            <v>粤泰股份</v>
          </cell>
          <cell r="B99" t="str">
            <v>600393.SH</v>
          </cell>
        </row>
      </sheetData>
      <sheetData sheetId="2"/>
      <sheetData sheetId="3"/>
      <sheetData sheetId="4">
        <row r="1">
          <cell r="A1" t="str">
            <v>维格娜丝</v>
          </cell>
          <cell r="B1" t="str">
            <v>603518.SH</v>
          </cell>
        </row>
        <row r="2">
          <cell r="A2" t="str">
            <v>康隆达</v>
          </cell>
          <cell r="B2" t="str">
            <v>603665.SH</v>
          </cell>
        </row>
        <row r="3">
          <cell r="A3" t="str">
            <v>金麒麟</v>
          </cell>
          <cell r="B3" t="str">
            <v>603586.SH</v>
          </cell>
        </row>
        <row r="4">
          <cell r="A4" t="str">
            <v>铁流股份</v>
          </cell>
          <cell r="B4" t="str">
            <v>603926.SH</v>
          </cell>
        </row>
        <row r="5">
          <cell r="A5" t="str">
            <v>红蜻蜓</v>
          </cell>
          <cell r="B5" t="str">
            <v>603116.SH</v>
          </cell>
        </row>
        <row r="6">
          <cell r="A6" t="str">
            <v>日月股份</v>
          </cell>
          <cell r="B6" t="str">
            <v>603218.SH</v>
          </cell>
        </row>
        <row r="7">
          <cell r="A7" t="str">
            <v>太平鸟</v>
          </cell>
          <cell r="B7" t="str">
            <v>603877.SH</v>
          </cell>
        </row>
        <row r="8">
          <cell r="A8" t="str">
            <v>秦安股份</v>
          </cell>
          <cell r="B8" t="str">
            <v>603758.SH</v>
          </cell>
        </row>
        <row r="9">
          <cell r="A9" t="str">
            <v>上海亚虹</v>
          </cell>
          <cell r="B9" t="str">
            <v>603159.SH</v>
          </cell>
        </row>
        <row r="10">
          <cell r="A10" t="str">
            <v>恒润股份</v>
          </cell>
          <cell r="B10" t="str">
            <v>603985.SH</v>
          </cell>
        </row>
        <row r="11">
          <cell r="A11" t="str">
            <v>中马传动</v>
          </cell>
          <cell r="B11" t="str">
            <v>603767.SH</v>
          </cell>
        </row>
        <row r="12">
          <cell r="A12" t="str">
            <v>劲拓股份</v>
          </cell>
          <cell r="B12" t="str">
            <v>300400.SZ</v>
          </cell>
        </row>
        <row r="13">
          <cell r="A13" t="str">
            <v>浙数文化</v>
          </cell>
          <cell r="B13" t="str">
            <v>600633.SH</v>
          </cell>
        </row>
        <row r="14">
          <cell r="A14" t="str">
            <v>浙江交科</v>
          </cell>
          <cell r="B14" t="str">
            <v>002061.SZ</v>
          </cell>
        </row>
        <row r="15">
          <cell r="A15" t="str">
            <v>浙大网新</v>
          </cell>
          <cell r="B15" t="str">
            <v>600797.SH</v>
          </cell>
        </row>
        <row r="16">
          <cell r="A16" t="str">
            <v>酒钢宏兴</v>
          </cell>
          <cell r="B16" t="str">
            <v>600307.SH</v>
          </cell>
        </row>
        <row r="17">
          <cell r="A17" t="str">
            <v>贵人鸟</v>
          </cell>
          <cell r="B17" t="str">
            <v>F1006086.00</v>
          </cell>
        </row>
        <row r="18">
          <cell r="A18" t="str">
            <v>美锦能源</v>
          </cell>
          <cell r="B18" t="str">
            <v>000723.SZ</v>
          </cell>
        </row>
        <row r="19">
          <cell r="A19" t="str">
            <v>太化股份</v>
          </cell>
          <cell r="B19" t="str">
            <v>600281.SH</v>
          </cell>
        </row>
        <row r="20">
          <cell r="A20" t="str">
            <v>漳州发展</v>
          </cell>
          <cell r="B20" t="str">
            <v>000753.SZ</v>
          </cell>
        </row>
        <row r="21">
          <cell r="A21" t="str">
            <v>国脉科技</v>
          </cell>
          <cell r="B21" t="str">
            <v>002093.SZ</v>
          </cell>
        </row>
        <row r="22">
          <cell r="A22" t="str">
            <v>广宇发展</v>
          </cell>
          <cell r="B22" t="str">
            <v>000537.SZ</v>
          </cell>
        </row>
        <row r="23">
          <cell r="A23" t="str">
            <v>曙光股份</v>
          </cell>
          <cell r="B23" t="str">
            <v>600303.SH</v>
          </cell>
        </row>
        <row r="24">
          <cell r="A24" t="str">
            <v>钱江生化</v>
          </cell>
          <cell r="B24" t="str">
            <v>600796.SH</v>
          </cell>
        </row>
        <row r="25">
          <cell r="A25" t="str">
            <v>广宇集团</v>
          </cell>
          <cell r="B25" t="str">
            <v>002133.SZ</v>
          </cell>
        </row>
        <row r="26">
          <cell r="A26" t="str">
            <v>全柴动力</v>
          </cell>
          <cell r="B26" t="str">
            <v>600218.SH</v>
          </cell>
        </row>
        <row r="27">
          <cell r="A27" t="str">
            <v>天宝股份</v>
          </cell>
          <cell r="B27" t="str">
            <v>002220.SZ</v>
          </cell>
        </row>
        <row r="28">
          <cell r="A28" t="str">
            <v>远兴能源</v>
          </cell>
          <cell r="B28" t="str">
            <v>000683.SZ</v>
          </cell>
        </row>
        <row r="29">
          <cell r="A29" t="str">
            <v>隆华节能</v>
          </cell>
          <cell r="B29" t="str">
            <v>300263.SZ</v>
          </cell>
        </row>
        <row r="30">
          <cell r="A30" t="str">
            <v>冠农股份</v>
          </cell>
          <cell r="B30" t="str">
            <v>600251.SH</v>
          </cell>
        </row>
        <row r="31">
          <cell r="A31" t="str">
            <v>维维股份</v>
          </cell>
          <cell r="B31" t="str">
            <v>600300.SH</v>
          </cell>
        </row>
        <row r="32">
          <cell r="A32" t="str">
            <v>牧高笛</v>
          </cell>
          <cell r="B32" t="str">
            <v>603908.SH</v>
          </cell>
        </row>
        <row r="33">
          <cell r="A33" t="str">
            <v>圣龙股份</v>
          </cell>
          <cell r="B33" t="str">
            <v>603178.SH</v>
          </cell>
        </row>
        <row r="34">
          <cell r="A34" t="str">
            <v>浙江仙通</v>
          </cell>
          <cell r="B34" t="str">
            <v>603239.SH</v>
          </cell>
        </row>
        <row r="35">
          <cell r="A35" t="str">
            <v>奇精机械</v>
          </cell>
          <cell r="B35" t="str">
            <v>603677.SH</v>
          </cell>
        </row>
        <row r="36">
          <cell r="A36" t="str">
            <v>宏盛股份</v>
          </cell>
          <cell r="B36" t="str">
            <v>603090.SH</v>
          </cell>
        </row>
        <row r="37">
          <cell r="A37" t="str">
            <v>天目湖</v>
          </cell>
          <cell r="B37" t="str">
            <v>603136.SH</v>
          </cell>
        </row>
        <row r="38">
          <cell r="A38" t="str">
            <v>如通股份</v>
          </cell>
          <cell r="B38" t="str">
            <v>603036.SH</v>
          </cell>
        </row>
        <row r="39">
          <cell r="A39" t="str">
            <v>豪能股份</v>
          </cell>
          <cell r="B39" t="str">
            <v>603809.SH</v>
          </cell>
        </row>
        <row r="40">
          <cell r="A40" t="str">
            <v>台华新材</v>
          </cell>
          <cell r="B40" t="str">
            <v>603055.SH</v>
          </cell>
        </row>
        <row r="41">
          <cell r="A41" t="str">
            <v>青海华鼎</v>
          </cell>
          <cell r="B41" t="str">
            <v>600243.SH</v>
          </cell>
        </row>
        <row r="42">
          <cell r="A42" t="str">
            <v>江西长运</v>
          </cell>
          <cell r="B42" t="str">
            <v>600561.SH</v>
          </cell>
        </row>
        <row r="43">
          <cell r="A43" t="str">
            <v>商业城</v>
          </cell>
          <cell r="B43" t="str">
            <v>600306.SH</v>
          </cell>
        </row>
        <row r="44">
          <cell r="A44" t="str">
            <v>永吉股份</v>
          </cell>
          <cell r="B44" t="str">
            <v>603058.SH</v>
          </cell>
        </row>
        <row r="45">
          <cell r="A45" t="str">
            <v>博信股份</v>
          </cell>
          <cell r="B45" t="str">
            <v>600083.SH</v>
          </cell>
        </row>
        <row r="46">
          <cell r="A46" t="str">
            <v>亚星客车</v>
          </cell>
          <cell r="B46" t="str">
            <v>600213.SH</v>
          </cell>
        </row>
        <row r="47">
          <cell r="A47" t="str">
            <v>龙建股份</v>
          </cell>
          <cell r="B47" t="str">
            <v>600853.SH</v>
          </cell>
        </row>
        <row r="48">
          <cell r="A48" t="str">
            <v>赛福天</v>
          </cell>
          <cell r="B48" t="str">
            <v>603028.SH</v>
          </cell>
        </row>
        <row r="49">
          <cell r="A49" t="str">
            <v>杭电股份</v>
          </cell>
          <cell r="B49" t="str">
            <v>603618.SH</v>
          </cell>
        </row>
        <row r="50">
          <cell r="A50" t="str">
            <v>正虹科技</v>
          </cell>
          <cell r="B50" t="str">
            <v>000702.SZ</v>
          </cell>
        </row>
        <row r="51">
          <cell r="A51" t="str">
            <v>山东威达</v>
          </cell>
          <cell r="B51" t="str">
            <v>002026.SZ</v>
          </cell>
        </row>
        <row r="52">
          <cell r="A52" t="str">
            <v>棒杰股份</v>
          </cell>
          <cell r="B52" t="str">
            <v>002634.SZ</v>
          </cell>
        </row>
        <row r="53">
          <cell r="A53" t="str">
            <v>博实股份</v>
          </cell>
          <cell r="B53" t="str">
            <v>002698.SZ</v>
          </cell>
        </row>
        <row r="54">
          <cell r="A54" t="str">
            <v>金利华电</v>
          </cell>
          <cell r="B54" t="str">
            <v>300069.SZ</v>
          </cell>
        </row>
        <row r="55">
          <cell r="A55" t="str">
            <v>明利股份</v>
          </cell>
          <cell r="B55" t="str">
            <v>831963.NQ</v>
          </cell>
        </row>
        <row r="56">
          <cell r="A56" t="str">
            <v>罗平锌电</v>
          </cell>
          <cell r="B56" t="str">
            <v>002114.SZ</v>
          </cell>
        </row>
        <row r="57">
          <cell r="A57" t="str">
            <v>保千里</v>
          </cell>
          <cell r="B57" t="str">
            <v>600074.SH</v>
          </cell>
        </row>
        <row r="58">
          <cell r="A58" t="str">
            <v>神开股份</v>
          </cell>
          <cell r="B58" t="str">
            <v>002278.SZ</v>
          </cell>
        </row>
        <row r="59">
          <cell r="A59" t="str">
            <v>金利华电</v>
          </cell>
          <cell r="B59" t="str">
            <v>300069.SZ</v>
          </cell>
        </row>
        <row r="60">
          <cell r="A60" t="str">
            <v>菲达环保</v>
          </cell>
          <cell r="B60" t="str">
            <v>600526.SH</v>
          </cell>
        </row>
        <row r="61">
          <cell r="A61" t="str">
            <v>东风科技</v>
          </cell>
          <cell r="B61" t="str">
            <v>600081.SH</v>
          </cell>
        </row>
        <row r="62">
          <cell r="A62" t="str">
            <v>人民网</v>
          </cell>
          <cell r="B62" t="str">
            <v>603000.SH</v>
          </cell>
        </row>
        <row r="63">
          <cell r="A63" t="str">
            <v>日月股份</v>
          </cell>
          <cell r="B63" t="str">
            <v>603218.SH</v>
          </cell>
        </row>
        <row r="64">
          <cell r="A64" t="str">
            <v>天马股份</v>
          </cell>
          <cell r="B64" t="str">
            <v>002122.SZ</v>
          </cell>
        </row>
        <row r="65">
          <cell r="A65" t="str">
            <v>吉林化纤</v>
          </cell>
          <cell r="B65" t="str">
            <v>000420.SZ</v>
          </cell>
        </row>
        <row r="66">
          <cell r="A66" t="str">
            <v>奔腾集团</v>
          </cell>
          <cell r="B66" t="str">
            <v>832650.NQ</v>
          </cell>
        </row>
        <row r="67">
          <cell r="A67" t="str">
            <v>丰华股份</v>
          </cell>
          <cell r="B67" t="str">
            <v>600615.SH</v>
          </cell>
        </row>
        <row r="68">
          <cell r="A68" t="str">
            <v>拓日新能</v>
          </cell>
          <cell r="B68" t="str">
            <v>002218.SZ</v>
          </cell>
        </row>
        <row r="69">
          <cell r="A69" t="str">
            <v>粤水电</v>
          </cell>
          <cell r="B69" t="str">
            <v>002060.SZ</v>
          </cell>
        </row>
        <row r="70">
          <cell r="A70" t="str">
            <v>澳柯玛</v>
          </cell>
          <cell r="B70" t="str">
            <v>600336.SH</v>
          </cell>
        </row>
        <row r="71">
          <cell r="A71" t="str">
            <v>海信科龙</v>
          </cell>
          <cell r="B71" t="str">
            <v>000921.SZ</v>
          </cell>
        </row>
        <row r="72">
          <cell r="A72" t="str">
            <v>柘中股份</v>
          </cell>
          <cell r="B72" t="str">
            <v>002346.SZ</v>
          </cell>
        </row>
        <row r="73">
          <cell r="A73" t="str">
            <v>浩丰科技</v>
          </cell>
          <cell r="B73" t="str">
            <v>300419.SZ</v>
          </cell>
        </row>
        <row r="74">
          <cell r="A74" t="str">
            <v>南华仪器</v>
          </cell>
          <cell r="B74" t="str">
            <v>300417.SZ</v>
          </cell>
        </row>
        <row r="75">
          <cell r="A75" t="str">
            <v>山河药辅</v>
          </cell>
          <cell r="B75" t="str">
            <v>300452.SZ</v>
          </cell>
        </row>
        <row r="76">
          <cell r="A76" t="str">
            <v>中飞股份</v>
          </cell>
          <cell r="B76" t="str">
            <v>300489.SZ</v>
          </cell>
        </row>
      </sheetData>
      <sheetData sheetId="5"/>
      <sheetData sheetId="6"/>
      <sheetData sheetId="7"/>
      <sheetData sheetId="8"/>
      <sheetData sheetId="9">
        <row r="1">
          <cell r="A1" t="str">
            <v>股票名称</v>
          </cell>
          <cell r="B1" t="str">
            <v>股票代码</v>
          </cell>
        </row>
        <row r="2">
          <cell r="A2" t="str">
            <v>捷成股份</v>
          </cell>
          <cell r="B2" t="str">
            <v>300182.SZ</v>
          </cell>
        </row>
        <row r="3">
          <cell r="A3" t="str">
            <v>ST中冠A</v>
          </cell>
          <cell r="B3" t="str">
            <v>000018.SZ</v>
          </cell>
        </row>
        <row r="4">
          <cell r="A4" t="str">
            <v>成飞集成</v>
          </cell>
          <cell r="B4" t="str">
            <v>002190.SZ</v>
          </cell>
        </row>
        <row r="5">
          <cell r="A5" t="str">
            <v>众合机电</v>
          </cell>
          <cell r="B5" t="str">
            <v>F1000816.00</v>
          </cell>
        </row>
        <row r="6">
          <cell r="A6" t="str">
            <v>航天动力</v>
          </cell>
          <cell r="B6" t="str">
            <v>600343.SH</v>
          </cell>
        </row>
        <row r="7">
          <cell r="A7" t="str">
            <v>ST波导</v>
          </cell>
          <cell r="B7" t="str">
            <v>600130.SH</v>
          </cell>
        </row>
        <row r="8">
          <cell r="A8" t="str">
            <v>ST洛玻</v>
          </cell>
          <cell r="B8" t="str">
            <v>600876.SH</v>
          </cell>
        </row>
        <row r="9">
          <cell r="A9" t="str">
            <v>栋梁新材</v>
          </cell>
          <cell r="B9" t="str">
            <v>002082.SZ</v>
          </cell>
        </row>
        <row r="10">
          <cell r="A10" t="str">
            <v>中发科技</v>
          </cell>
          <cell r="B10" t="str">
            <v>600520.SH</v>
          </cell>
        </row>
        <row r="11">
          <cell r="A11" t="str">
            <v>云煤能源</v>
          </cell>
          <cell r="B11" t="str">
            <v>600792.SH</v>
          </cell>
        </row>
        <row r="12">
          <cell r="A12" t="str">
            <v>西藏旅游</v>
          </cell>
          <cell r="B12" t="str">
            <v>600749.SH</v>
          </cell>
        </row>
        <row r="13">
          <cell r="A13" t="str">
            <v>恒源煤电</v>
          </cell>
          <cell r="B13" t="str">
            <v>600971.SH</v>
          </cell>
        </row>
        <row r="14">
          <cell r="A14" t="str">
            <v>西宁特钢</v>
          </cell>
          <cell r="B14" t="str">
            <v>600117.SH</v>
          </cell>
        </row>
        <row r="15">
          <cell r="A15" t="str">
            <v>新钢股份</v>
          </cell>
          <cell r="B15" t="str">
            <v>600782.SH</v>
          </cell>
        </row>
        <row r="16">
          <cell r="A16" t="str">
            <v>四川长虹</v>
          </cell>
          <cell r="B16" t="str">
            <v>600839.SH</v>
          </cell>
        </row>
        <row r="17">
          <cell r="A17" t="str">
            <v>钢构工程</v>
          </cell>
          <cell r="B17" t="str">
            <v>600072.SH</v>
          </cell>
        </row>
        <row r="18">
          <cell r="A18" t="str">
            <v>大唐电信</v>
          </cell>
          <cell r="B18" t="str">
            <v>600198.SH</v>
          </cell>
        </row>
        <row r="19">
          <cell r="A19" t="str">
            <v>江苏阳光</v>
          </cell>
          <cell r="B19" t="str">
            <v>600220.SH</v>
          </cell>
        </row>
        <row r="20">
          <cell r="A20" t="str">
            <v>际华集团</v>
          </cell>
          <cell r="B20" t="str">
            <v>601718.SH</v>
          </cell>
        </row>
        <row r="21">
          <cell r="A21" t="str">
            <v>营口港</v>
          </cell>
          <cell r="B21" t="str">
            <v>600317.SH</v>
          </cell>
        </row>
        <row r="22">
          <cell r="A22" t="str">
            <v>中航重机</v>
          </cell>
          <cell r="B22" t="str">
            <v>600765.SH</v>
          </cell>
        </row>
        <row r="23">
          <cell r="A23" t="str">
            <v>和邦生物</v>
          </cell>
          <cell r="B23" t="str">
            <v>603077.SH</v>
          </cell>
        </row>
        <row r="24">
          <cell r="A24" t="str">
            <v>三力士</v>
          </cell>
          <cell r="B24" t="str">
            <v>002224.SZ</v>
          </cell>
        </row>
        <row r="25">
          <cell r="A25" t="str">
            <v>得利斯</v>
          </cell>
          <cell r="B25" t="str">
            <v>002330.SZ</v>
          </cell>
        </row>
        <row r="26">
          <cell r="A26" t="str">
            <v>协鑫集成</v>
          </cell>
          <cell r="B26" t="str">
            <v>002506.SZ</v>
          </cell>
        </row>
        <row r="27">
          <cell r="A27" t="str">
            <v>神思电子</v>
          </cell>
          <cell r="B27" t="str">
            <v>300479.SZ</v>
          </cell>
        </row>
        <row r="28">
          <cell r="A28" t="str">
            <v>宝信软件</v>
          </cell>
          <cell r="B28" t="str">
            <v>600845.SH</v>
          </cell>
        </row>
        <row r="29">
          <cell r="A29" t="str">
            <v>联发股份</v>
          </cell>
          <cell r="B29" t="str">
            <v>002394.SZ</v>
          </cell>
        </row>
        <row r="30">
          <cell r="A30" t="str">
            <v>高鸿股份</v>
          </cell>
          <cell r="B30" t="str">
            <v>000851.SZ</v>
          </cell>
        </row>
        <row r="31">
          <cell r="A31" t="str">
            <v>巨化股份</v>
          </cell>
          <cell r="B31" t="str">
            <v>600160.SH</v>
          </cell>
        </row>
        <row r="32">
          <cell r="A32" t="str">
            <v>泰合健康</v>
          </cell>
          <cell r="B32" t="str">
            <v>000790.SZ</v>
          </cell>
        </row>
        <row r="33">
          <cell r="A33" t="str">
            <v>万向钱潮</v>
          </cell>
          <cell r="B33" t="str">
            <v>000559.SZ</v>
          </cell>
        </row>
        <row r="34">
          <cell r="A34" t="str">
            <v>鸿博股份</v>
          </cell>
          <cell r="B34" t="str">
            <v>002229.SZ</v>
          </cell>
        </row>
        <row r="35">
          <cell r="A35" t="str">
            <v>华工科技</v>
          </cell>
          <cell r="B35" t="str">
            <v>000988.SZ</v>
          </cell>
        </row>
        <row r="36">
          <cell r="A36" t="str">
            <v>冠豪高新</v>
          </cell>
          <cell r="B36" t="str">
            <v>600433.SH</v>
          </cell>
        </row>
        <row r="37">
          <cell r="A37" t="str">
            <v>锡业股份</v>
          </cell>
          <cell r="B37" t="str">
            <v>000960.SZ</v>
          </cell>
        </row>
        <row r="38">
          <cell r="A38" t="str">
            <v>西部黄金</v>
          </cell>
          <cell r="B38" t="str">
            <v>601069.SH</v>
          </cell>
        </row>
        <row r="39">
          <cell r="A39" t="str">
            <v>亚太股份</v>
          </cell>
          <cell r="B39" t="str">
            <v>002284.SZ</v>
          </cell>
        </row>
        <row r="40">
          <cell r="A40" t="str">
            <v>龙蟒佰利</v>
          </cell>
          <cell r="B40" t="str">
            <v>002601.SZ</v>
          </cell>
        </row>
        <row r="41">
          <cell r="A41" t="str">
            <v>欧菲科技</v>
          </cell>
          <cell r="B41" t="str">
            <v>002456.SZ</v>
          </cell>
        </row>
        <row r="42">
          <cell r="A42" t="str">
            <v>东旭光电</v>
          </cell>
          <cell r="B42" t="str">
            <v>000413.SZ</v>
          </cell>
        </row>
        <row r="43">
          <cell r="A43" t="str">
            <v>深中华A</v>
          </cell>
          <cell r="B43" t="str">
            <v>000017.SZ</v>
          </cell>
        </row>
        <row r="44">
          <cell r="A44" t="str">
            <v>新大陆</v>
          </cell>
          <cell r="B44" t="str">
            <v>000997.SZ</v>
          </cell>
        </row>
        <row r="45">
          <cell r="A45" t="str">
            <v>ST罗顿</v>
          </cell>
          <cell r="B45" t="str">
            <v>600209.SH</v>
          </cell>
        </row>
        <row r="46">
          <cell r="A46" t="str">
            <v>如通股份</v>
          </cell>
          <cell r="B46" t="str">
            <v>603036.SH</v>
          </cell>
        </row>
        <row r="47">
          <cell r="A47" t="str">
            <v>清源股份</v>
          </cell>
          <cell r="B47" t="str">
            <v>603628.SH</v>
          </cell>
        </row>
        <row r="48">
          <cell r="A48" t="str">
            <v>亚振家居</v>
          </cell>
          <cell r="B48" t="str">
            <v>603389.SH</v>
          </cell>
        </row>
        <row r="49">
          <cell r="A49" t="str">
            <v>湘油泵</v>
          </cell>
          <cell r="B49" t="str">
            <v>603319.SH</v>
          </cell>
        </row>
        <row r="50">
          <cell r="A50" t="str">
            <v>海航控股</v>
          </cell>
          <cell r="B50" t="str">
            <v>600221.SH</v>
          </cell>
        </row>
        <row r="51">
          <cell r="A51" t="str">
            <v>南威软件</v>
          </cell>
          <cell r="B51" t="str">
            <v>603636.SH</v>
          </cell>
        </row>
        <row r="52">
          <cell r="A52" t="str">
            <v>迪马股份</v>
          </cell>
          <cell r="B52" t="str">
            <v>600565.SH</v>
          </cell>
        </row>
        <row r="53">
          <cell r="A53" t="str">
            <v>黄河旋风</v>
          </cell>
          <cell r="B53" t="str">
            <v>600172.SH</v>
          </cell>
        </row>
        <row r="54">
          <cell r="A54" t="str">
            <v>ST毅达</v>
          </cell>
          <cell r="B54" t="str">
            <v>600610.SH</v>
          </cell>
        </row>
        <row r="55">
          <cell r="A55" t="str">
            <v>杭电股份</v>
          </cell>
          <cell r="B55" t="str">
            <v>603618.SH</v>
          </cell>
        </row>
        <row r="56">
          <cell r="A56" t="str">
            <v>中水渔业</v>
          </cell>
          <cell r="B56" t="str">
            <v>000798.SZ</v>
          </cell>
        </row>
        <row r="57">
          <cell r="A57" t="str">
            <v>宝鼎科技</v>
          </cell>
          <cell r="B57" t="str">
            <v>002552.SZ</v>
          </cell>
        </row>
        <row r="58">
          <cell r="A58" t="str">
            <v>中电电机</v>
          </cell>
          <cell r="B58" t="str">
            <v>603988.SH</v>
          </cell>
        </row>
        <row r="59">
          <cell r="A59" t="str">
            <v>永艺股份</v>
          </cell>
          <cell r="B59" t="str">
            <v>603600.SH</v>
          </cell>
        </row>
        <row r="60">
          <cell r="A60" t="str">
            <v>大连电瓷</v>
          </cell>
          <cell r="B60" t="str">
            <v>002606.SZ</v>
          </cell>
        </row>
        <row r="61">
          <cell r="A61" t="str">
            <v>百川股份</v>
          </cell>
          <cell r="B61" t="str">
            <v>002455.SZ</v>
          </cell>
        </row>
        <row r="62">
          <cell r="A62" t="str">
            <v>九强生物</v>
          </cell>
          <cell r="B62" t="str">
            <v>300406.SZ</v>
          </cell>
        </row>
        <row r="63">
          <cell r="A63" t="str">
            <v>南兴装备</v>
          </cell>
          <cell r="B63" t="str">
            <v>002757.SZ</v>
          </cell>
        </row>
        <row r="64">
          <cell r="A64" t="str">
            <v>仁和药业</v>
          </cell>
          <cell r="B64" t="str">
            <v>000650.SZ</v>
          </cell>
        </row>
        <row r="65">
          <cell r="A65" t="str">
            <v>新天科技</v>
          </cell>
          <cell r="B65" t="str">
            <v>300259.SZ</v>
          </cell>
        </row>
        <row r="66">
          <cell r="A66" t="str">
            <v>中来股份</v>
          </cell>
          <cell r="B66" t="str">
            <v>300393.SZ</v>
          </cell>
        </row>
        <row r="67">
          <cell r="A67" t="str">
            <v>鹏翎股份</v>
          </cell>
          <cell r="B67" t="str">
            <v>300375.SZ</v>
          </cell>
        </row>
        <row r="68">
          <cell r="A68" t="str">
            <v>瑞丰高材</v>
          </cell>
          <cell r="B68" t="str">
            <v>300243.SZ</v>
          </cell>
        </row>
        <row r="69">
          <cell r="A69" t="str">
            <v>经纬纺机</v>
          </cell>
          <cell r="B69" t="str">
            <v>000666.SZ</v>
          </cell>
        </row>
        <row r="70">
          <cell r="A70" t="str">
            <v>云南锗业</v>
          </cell>
          <cell r="B70" t="str">
            <v>002428.SZ</v>
          </cell>
        </row>
        <row r="71">
          <cell r="A71" t="str">
            <v>先锋新材</v>
          </cell>
          <cell r="B71" t="str">
            <v>300163.SZ</v>
          </cell>
        </row>
        <row r="72">
          <cell r="A72" t="str">
            <v>圣农发展</v>
          </cell>
          <cell r="B72" t="str">
            <v>002299.SZ</v>
          </cell>
        </row>
        <row r="73">
          <cell r="A73" t="str">
            <v>红宇新材</v>
          </cell>
          <cell r="B73" t="str">
            <v>300345.SZ</v>
          </cell>
        </row>
        <row r="74">
          <cell r="A74" t="str">
            <v>天神娱乐</v>
          </cell>
          <cell r="B74" t="str">
            <v>002354.SZ</v>
          </cell>
        </row>
        <row r="75">
          <cell r="A75" t="str">
            <v>三联虹普</v>
          </cell>
          <cell r="B75" t="str">
            <v>300384.SZ</v>
          </cell>
        </row>
        <row r="76">
          <cell r="A76" t="str">
            <v>明家科技</v>
          </cell>
          <cell r="B76" t="str">
            <v>300242.SZ</v>
          </cell>
        </row>
        <row r="77">
          <cell r="A77" t="str">
            <v>国祯环保</v>
          </cell>
          <cell r="B77" t="str">
            <v>300388.SZ</v>
          </cell>
        </row>
        <row r="78">
          <cell r="A78" t="str">
            <v>强力新材</v>
          </cell>
          <cell r="B78" t="str">
            <v>300429.SZ</v>
          </cell>
        </row>
        <row r="79">
          <cell r="A79" t="str">
            <v>浩丰科技</v>
          </cell>
          <cell r="B79" t="str">
            <v>300419.SZ</v>
          </cell>
        </row>
        <row r="80">
          <cell r="A80" t="str">
            <v>福昕软件</v>
          </cell>
          <cell r="B80" t="str">
            <v>688095.SH</v>
          </cell>
        </row>
        <row r="81">
          <cell r="A81" t="str">
            <v>圆融科技</v>
          </cell>
          <cell r="B81" t="str">
            <v>832502.NQ</v>
          </cell>
        </row>
        <row r="82">
          <cell r="A82" t="str">
            <v>ST复娱</v>
          </cell>
          <cell r="B82" t="str">
            <v>831472.NQ</v>
          </cell>
        </row>
        <row r="83">
          <cell r="A83" t="str">
            <v>蓝天环保</v>
          </cell>
          <cell r="B83" t="str">
            <v>430263.NQ</v>
          </cell>
        </row>
        <row r="84">
          <cell r="A84" t="str">
            <v>许继智能</v>
          </cell>
          <cell r="B84" t="str">
            <v>000400.SZ</v>
          </cell>
        </row>
        <row r="85">
          <cell r="A85" t="str">
            <v>智通建设</v>
          </cell>
          <cell r="B85" t="str">
            <v>831395.NQ</v>
          </cell>
        </row>
        <row r="86">
          <cell r="A86" t="str">
            <v>中喜生态</v>
          </cell>
          <cell r="B86" t="str">
            <v>831439.NQ</v>
          </cell>
        </row>
        <row r="87">
          <cell r="A87" t="str">
            <v>梓橦宫</v>
          </cell>
          <cell r="B87" t="str">
            <v>832566.BJ</v>
          </cell>
        </row>
        <row r="88">
          <cell r="A88" t="str">
            <v>青雨传媒</v>
          </cell>
          <cell r="B88" t="str">
            <v>832698.NQ</v>
          </cell>
        </row>
        <row r="89">
          <cell r="A89" t="str">
            <v>凌志软件</v>
          </cell>
          <cell r="B89" t="str">
            <v>688588.SH</v>
          </cell>
        </row>
        <row r="90">
          <cell r="A90" t="str">
            <v>粤林股份</v>
          </cell>
          <cell r="B90" t="str">
            <v>831455.NQ</v>
          </cell>
        </row>
        <row r="91">
          <cell r="A91" t="str">
            <v>搜才人力</v>
          </cell>
          <cell r="B91" t="str">
            <v>831662.NQ</v>
          </cell>
        </row>
        <row r="92">
          <cell r="A92" t="str">
            <v>卡联科技</v>
          </cell>
          <cell r="B92" t="str">
            <v>430130.NQ</v>
          </cell>
        </row>
        <row r="93">
          <cell r="A93" t="str">
            <v>中兴通科</v>
          </cell>
          <cell r="B93" t="str">
            <v>832041.NQ</v>
          </cell>
        </row>
        <row r="94">
          <cell r="A94" t="str">
            <v>精华制药</v>
          </cell>
          <cell r="B94" t="str">
            <v>002349.SZ</v>
          </cell>
        </row>
        <row r="95">
          <cell r="A95" t="str">
            <v>凤形股份</v>
          </cell>
          <cell r="B95" t="str">
            <v>002760.SZ</v>
          </cell>
        </row>
        <row r="96">
          <cell r="A96" t="str">
            <v>易事特</v>
          </cell>
          <cell r="B96" t="str">
            <v>300376.SZ</v>
          </cell>
        </row>
        <row r="97">
          <cell r="A97" t="str">
            <v>节能风电</v>
          </cell>
          <cell r="B97" t="str">
            <v>601016.SH</v>
          </cell>
        </row>
        <row r="98">
          <cell r="A98" t="str">
            <v>张家港行</v>
          </cell>
          <cell r="B98" t="str">
            <v>002839.SZ</v>
          </cell>
        </row>
        <row r="99">
          <cell r="A99" t="str">
            <v>和胜股份</v>
          </cell>
          <cell r="B99" t="str">
            <v>002824.SZ</v>
          </cell>
        </row>
        <row r="100">
          <cell r="A100" t="str">
            <v>江阴银行</v>
          </cell>
          <cell r="B100" t="str">
            <v>002807.SZ</v>
          </cell>
        </row>
        <row r="101">
          <cell r="A101" t="str">
            <v>众益传媒</v>
          </cell>
          <cell r="B101" t="str">
            <v>831882.NQ</v>
          </cell>
        </row>
        <row r="102">
          <cell r="A102" t="str">
            <v>卫东环保</v>
          </cell>
          <cell r="B102" t="str">
            <v>832043.NQ</v>
          </cell>
        </row>
        <row r="103">
          <cell r="A103" t="str">
            <v>兴发集团</v>
          </cell>
          <cell r="B103" t="str">
            <v>600141.SH</v>
          </cell>
        </row>
        <row r="104">
          <cell r="A104" t="str">
            <v>大连国际</v>
          </cell>
          <cell r="B104" t="str">
            <v>000881.SZ</v>
          </cell>
        </row>
        <row r="105">
          <cell r="A105" t="str">
            <v>清新环境</v>
          </cell>
          <cell r="B105" t="str">
            <v>002573.SZ</v>
          </cell>
        </row>
        <row r="106">
          <cell r="A106" t="str">
            <v>圣阳股份</v>
          </cell>
          <cell r="B106" t="str">
            <v>002580.SZ</v>
          </cell>
        </row>
        <row r="107">
          <cell r="A107" t="str">
            <v>全柴动力</v>
          </cell>
          <cell r="B107" t="str">
            <v>600218.SH</v>
          </cell>
        </row>
        <row r="108">
          <cell r="A108" t="str">
            <v>苏常柴A</v>
          </cell>
          <cell r="B108" t="str">
            <v>000570.SZ</v>
          </cell>
        </row>
        <row r="109">
          <cell r="A109" t="str">
            <v>天富能源</v>
          </cell>
          <cell r="B109" t="str">
            <v>600509.SH</v>
          </cell>
        </row>
        <row r="110">
          <cell r="A110" t="str">
            <v>石油济柴</v>
          </cell>
          <cell r="B110" t="str">
            <v>000617.SZ</v>
          </cell>
        </row>
        <row r="111">
          <cell r="A111" t="str">
            <v>渝开发</v>
          </cell>
          <cell r="B111" t="str">
            <v>000514.SZ</v>
          </cell>
        </row>
        <row r="112">
          <cell r="A112" t="str">
            <v>复旦复华</v>
          </cell>
          <cell r="B112" t="str">
            <v>600624.SH</v>
          </cell>
        </row>
        <row r="113">
          <cell r="A113" t="str">
            <v>海大集团</v>
          </cell>
          <cell r="B113" t="str">
            <v>002311.SZ</v>
          </cell>
        </row>
        <row r="114">
          <cell r="A114" t="str">
            <v>桐昆股份</v>
          </cell>
          <cell r="B114" t="str">
            <v>601233.SH</v>
          </cell>
        </row>
        <row r="115">
          <cell r="A115" t="str">
            <v>东方电子</v>
          </cell>
          <cell r="B115" t="str">
            <v>000682.SZ</v>
          </cell>
        </row>
        <row r="116">
          <cell r="A116" t="str">
            <v>红宝利</v>
          </cell>
          <cell r="B116" t="str">
            <v>002165.SZ</v>
          </cell>
        </row>
        <row r="117">
          <cell r="A117" t="str">
            <v>佳士科技</v>
          </cell>
          <cell r="B117" t="str">
            <v>300193.SZ</v>
          </cell>
        </row>
        <row r="118">
          <cell r="A118" t="str">
            <v>紫光股份</v>
          </cell>
          <cell r="B118" t="str">
            <v>000938.SZ</v>
          </cell>
        </row>
        <row r="119">
          <cell r="A119" t="str">
            <v>康芝药业</v>
          </cell>
          <cell r="B119" t="str">
            <v>300086.SZ</v>
          </cell>
        </row>
        <row r="120">
          <cell r="A120" t="str">
            <v>天瑞仪器</v>
          </cell>
          <cell r="B120" t="str">
            <v>300165.SZ</v>
          </cell>
        </row>
        <row r="121">
          <cell r="A121" t="str">
            <v>荣之联</v>
          </cell>
          <cell r="B121" t="str">
            <v>002642.SZ</v>
          </cell>
        </row>
        <row r="122">
          <cell r="A122" t="str">
            <v>慈星股份</v>
          </cell>
          <cell r="B122" t="str">
            <v>300307.SZ</v>
          </cell>
        </row>
        <row r="123">
          <cell r="A123" t="str">
            <v>星星科技</v>
          </cell>
          <cell r="B123" t="str">
            <v>300256.SZ</v>
          </cell>
        </row>
        <row r="124">
          <cell r="A124" t="str">
            <v>宏达高科</v>
          </cell>
          <cell r="B124" t="str">
            <v>002144.SZ</v>
          </cell>
        </row>
        <row r="125">
          <cell r="A125" t="str">
            <v>双星新材</v>
          </cell>
          <cell r="B125" t="str">
            <v>002585.SZ</v>
          </cell>
        </row>
        <row r="126">
          <cell r="A126" t="str">
            <v>华孚色纺</v>
          </cell>
          <cell r="B126" t="str">
            <v>002042.SZ</v>
          </cell>
        </row>
        <row r="127">
          <cell r="A127" t="str">
            <v>宁波华翔</v>
          </cell>
          <cell r="B127" t="str">
            <v>002048.SZ</v>
          </cell>
        </row>
        <row r="128">
          <cell r="A128" t="str">
            <v>闰土股份</v>
          </cell>
          <cell r="B128" t="str">
            <v>002440.SZ</v>
          </cell>
        </row>
        <row r="129">
          <cell r="A129" t="str">
            <v>长青股份</v>
          </cell>
          <cell r="B129" t="str">
            <v>002391.SZ</v>
          </cell>
        </row>
        <row r="130">
          <cell r="A130" t="str">
            <v>鸿路钢构</v>
          </cell>
          <cell r="B130" t="str">
            <v>002541.SZ</v>
          </cell>
        </row>
        <row r="131">
          <cell r="A131" t="str">
            <v>兴业银行</v>
          </cell>
          <cell r="B131" t="str">
            <v>601166.SH</v>
          </cell>
        </row>
        <row r="132">
          <cell r="A132" t="str">
            <v>嘉寓股份</v>
          </cell>
          <cell r="B132" t="str">
            <v>300117.SZ</v>
          </cell>
        </row>
        <row r="133">
          <cell r="A133" t="str">
            <v>出版传媒</v>
          </cell>
          <cell r="B133" t="str">
            <v>601999.SH</v>
          </cell>
        </row>
        <row r="134">
          <cell r="A134" t="str">
            <v>六国化工</v>
          </cell>
          <cell r="B134" t="str">
            <v>600470.SH</v>
          </cell>
        </row>
        <row r="135">
          <cell r="A135" t="str">
            <v>新界泵业</v>
          </cell>
          <cell r="B135" t="str">
            <v>002532.SZ</v>
          </cell>
        </row>
        <row r="136">
          <cell r="A136" t="str">
            <v>福能股份</v>
          </cell>
          <cell r="B136" t="str">
            <v>600483.SH</v>
          </cell>
        </row>
        <row r="137">
          <cell r="A137" t="str">
            <v>山东药玻</v>
          </cell>
          <cell r="B137" t="str">
            <v>600529.SH</v>
          </cell>
        </row>
        <row r="138">
          <cell r="A138" t="str">
            <v>林洋电子</v>
          </cell>
          <cell r="B138" t="str">
            <v>601222.SH</v>
          </cell>
        </row>
        <row r="139">
          <cell r="A139" t="str">
            <v>风神股份</v>
          </cell>
          <cell r="B139" t="str">
            <v>600469.SH</v>
          </cell>
        </row>
        <row r="140">
          <cell r="A140" t="str">
            <v>川仪股份</v>
          </cell>
          <cell r="B140" t="str">
            <v>603100.SH</v>
          </cell>
        </row>
        <row r="141">
          <cell r="A141" t="str">
            <v>太阳电缆</v>
          </cell>
          <cell r="B141" t="str">
            <v>002300.SZ</v>
          </cell>
        </row>
        <row r="142">
          <cell r="A142" t="str">
            <v>冠城大通</v>
          </cell>
          <cell r="B142" t="str">
            <v>600067.SH</v>
          </cell>
        </row>
        <row r="143">
          <cell r="A143" t="str">
            <v>鄂尔多斯</v>
          </cell>
          <cell r="B143" t="str">
            <v>600295.SH</v>
          </cell>
        </row>
        <row r="144">
          <cell r="A144" t="str">
            <v>酒鬼酒</v>
          </cell>
          <cell r="B144" t="str">
            <v>000799.SZ</v>
          </cell>
        </row>
        <row r="145">
          <cell r="A145" t="str">
            <v>平潭发展</v>
          </cell>
          <cell r="B145" t="str">
            <v>000592.SZ</v>
          </cell>
        </row>
        <row r="146">
          <cell r="A146" t="str">
            <v>山大华特</v>
          </cell>
          <cell r="B146" t="str">
            <v>000915.SZ</v>
          </cell>
        </row>
        <row r="147">
          <cell r="A147" t="str">
            <v>福晶科技</v>
          </cell>
          <cell r="B147" t="str">
            <v>002222.SZ</v>
          </cell>
        </row>
        <row r="148">
          <cell r="A148" t="str">
            <v>ST三鑫</v>
          </cell>
          <cell r="B148" t="str">
            <v>002163.SZ</v>
          </cell>
        </row>
        <row r="149">
          <cell r="A149" t="str">
            <v>启明星辰</v>
          </cell>
          <cell r="B149" t="str">
            <v>002439.SZ</v>
          </cell>
        </row>
        <row r="150">
          <cell r="A150" t="str">
            <v>先河环保</v>
          </cell>
          <cell r="B150" t="str">
            <v>300137.SZ</v>
          </cell>
        </row>
        <row r="151">
          <cell r="A151" t="str">
            <v>腾邦国际</v>
          </cell>
          <cell r="B151" t="str">
            <v>300178.SZ</v>
          </cell>
        </row>
        <row r="152">
          <cell r="A152" t="str">
            <v>汉王科技</v>
          </cell>
          <cell r="B152" t="str">
            <v>002362.SZ</v>
          </cell>
        </row>
        <row r="153">
          <cell r="A153" t="str">
            <v>中国宝安</v>
          </cell>
          <cell r="B153" t="str">
            <v>000009.SZ</v>
          </cell>
        </row>
        <row r="154">
          <cell r="A154" t="str">
            <v>众和股份</v>
          </cell>
          <cell r="B154" t="str">
            <v>002070.SZ</v>
          </cell>
        </row>
        <row r="155">
          <cell r="A155" t="str">
            <v>银江股份</v>
          </cell>
          <cell r="B155" t="str">
            <v>300020.SZ</v>
          </cell>
        </row>
        <row r="156">
          <cell r="A156" t="str">
            <v>联络互动</v>
          </cell>
          <cell r="B156" t="str">
            <v>002280.SZ</v>
          </cell>
        </row>
        <row r="157">
          <cell r="A157" t="str">
            <v>特锐德</v>
          </cell>
          <cell r="B157" t="str">
            <v>300001.SZ</v>
          </cell>
        </row>
        <row r="158">
          <cell r="A158" t="str">
            <v>特力A</v>
          </cell>
          <cell r="B158" t="str">
            <v>000025.SZ</v>
          </cell>
        </row>
        <row r="159">
          <cell r="A159" t="str">
            <v>易所试</v>
          </cell>
          <cell r="B159" t="str">
            <v>430309.NQ</v>
          </cell>
        </row>
        <row r="160">
          <cell r="A160" t="str">
            <v>新华锦</v>
          </cell>
          <cell r="B160" t="str">
            <v>600735.SH</v>
          </cell>
        </row>
        <row r="161">
          <cell r="A161" t="str">
            <v>中钢天源</v>
          </cell>
          <cell r="B161" t="str">
            <v>002057.SZ</v>
          </cell>
        </row>
        <row r="162">
          <cell r="A162" t="str">
            <v>安妮股份</v>
          </cell>
          <cell r="B162" t="str">
            <v>002235.SZ</v>
          </cell>
        </row>
        <row r="163">
          <cell r="A163" t="str">
            <v>美好集团</v>
          </cell>
          <cell r="B163" t="str">
            <v>000667.SZ</v>
          </cell>
        </row>
        <row r="164">
          <cell r="A164" t="str">
            <v>日机密封</v>
          </cell>
          <cell r="B164" t="str">
            <v>300470.SZ</v>
          </cell>
        </row>
        <row r="165">
          <cell r="A165" t="str">
            <v>天玑科技</v>
          </cell>
          <cell r="B165" t="str">
            <v>300245.SZ</v>
          </cell>
        </row>
        <row r="166">
          <cell r="A166" t="str">
            <v>模塑科技</v>
          </cell>
          <cell r="B166" t="str">
            <v>000700.SZ</v>
          </cell>
        </row>
        <row r="167">
          <cell r="A167" t="str">
            <v>八一钢铁</v>
          </cell>
          <cell r="B167" t="str">
            <v>600581.SH</v>
          </cell>
        </row>
        <row r="168">
          <cell r="A168" t="str">
            <v>亚夏汽车</v>
          </cell>
          <cell r="B168" t="str">
            <v>002607.SZ</v>
          </cell>
        </row>
        <row r="169">
          <cell r="A169" t="str">
            <v>通程控股</v>
          </cell>
          <cell r="B169" t="str">
            <v>000419.SZ</v>
          </cell>
        </row>
        <row r="170">
          <cell r="A170" t="str">
            <v>日发精机</v>
          </cell>
          <cell r="B170" t="str">
            <v>002520.SZ</v>
          </cell>
        </row>
        <row r="171">
          <cell r="A171" t="str">
            <v>ST建峰</v>
          </cell>
          <cell r="B171" t="str">
            <v>000950.SZ</v>
          </cell>
        </row>
        <row r="172">
          <cell r="A172" t="str">
            <v>贵糖股份</v>
          </cell>
          <cell r="B172" t="str">
            <v>000833.SZ</v>
          </cell>
        </row>
        <row r="173">
          <cell r="A173" t="str">
            <v>横店东磁</v>
          </cell>
          <cell r="B173" t="str">
            <v>002056.SZ</v>
          </cell>
        </row>
        <row r="174">
          <cell r="A174" t="str">
            <v>金字火腿</v>
          </cell>
          <cell r="B174" t="str">
            <v>002515.SZ</v>
          </cell>
        </row>
        <row r="175">
          <cell r="A175" t="str">
            <v>桐君阁</v>
          </cell>
          <cell r="B175" t="str">
            <v>000591.SZ</v>
          </cell>
        </row>
        <row r="176">
          <cell r="A176" t="str">
            <v>恒康医疗</v>
          </cell>
          <cell r="B176" t="str">
            <v>002219.SZ</v>
          </cell>
        </row>
        <row r="177">
          <cell r="A177" t="str">
            <v>新农开发</v>
          </cell>
          <cell r="B177" t="str">
            <v>600359.SH</v>
          </cell>
        </row>
        <row r="178">
          <cell r="A178" t="str">
            <v>四维图新</v>
          </cell>
          <cell r="B178" t="str">
            <v>002405.SZ</v>
          </cell>
        </row>
        <row r="179">
          <cell r="A179" t="str">
            <v>二三四五</v>
          </cell>
          <cell r="B179" t="str">
            <v>002195.SZ</v>
          </cell>
        </row>
        <row r="180">
          <cell r="A180" t="str">
            <v>台海核电</v>
          </cell>
          <cell r="B180" t="str">
            <v>002366.SZ</v>
          </cell>
        </row>
        <row r="181">
          <cell r="A181" t="str">
            <v>精艺股份</v>
          </cell>
          <cell r="B181" t="str">
            <v>002295.SZ</v>
          </cell>
        </row>
        <row r="182">
          <cell r="A182" t="str">
            <v>福达股份</v>
          </cell>
          <cell r="B182" t="str">
            <v>603166.SH</v>
          </cell>
        </row>
        <row r="183">
          <cell r="A183" t="str">
            <v>铁岭新城</v>
          </cell>
          <cell r="B183" t="str">
            <v>000809.SZ</v>
          </cell>
        </row>
        <row r="184">
          <cell r="A184" t="str">
            <v>中兴商业</v>
          </cell>
          <cell r="B184" t="str">
            <v>000715.SZ</v>
          </cell>
        </row>
        <row r="185">
          <cell r="A185" t="str">
            <v>市北高新</v>
          </cell>
          <cell r="B185" t="str">
            <v>600604.SH</v>
          </cell>
        </row>
        <row r="186">
          <cell r="A186" t="str">
            <v>双林股份</v>
          </cell>
          <cell r="B186" t="str">
            <v>300100.SZ</v>
          </cell>
        </row>
        <row r="187">
          <cell r="A187" t="str">
            <v>海立美达</v>
          </cell>
          <cell r="B187" t="str">
            <v>002537.SZ</v>
          </cell>
        </row>
        <row r="188">
          <cell r="A188" t="str">
            <v>温州宏丰</v>
          </cell>
          <cell r="B188" t="str">
            <v>300283.SZ</v>
          </cell>
        </row>
        <row r="189">
          <cell r="A189" t="str">
            <v>西仪股份</v>
          </cell>
          <cell r="B189" t="str">
            <v>002265.SZ</v>
          </cell>
        </row>
        <row r="190">
          <cell r="A190" t="str">
            <v>裕兴股份</v>
          </cell>
          <cell r="B190" t="str">
            <v>300305.SZ</v>
          </cell>
        </row>
        <row r="191">
          <cell r="A191" t="str">
            <v>多伦股份</v>
          </cell>
          <cell r="B191" t="str">
            <v>600696.SH</v>
          </cell>
        </row>
        <row r="192">
          <cell r="A192" t="str">
            <v>宁波富邦</v>
          </cell>
          <cell r="B192" t="str">
            <v>600768.SH</v>
          </cell>
        </row>
        <row r="193">
          <cell r="A193" t="str">
            <v>小商品城</v>
          </cell>
          <cell r="B193" t="str">
            <v>600415.SH</v>
          </cell>
        </row>
        <row r="194">
          <cell r="A194" t="str">
            <v>同花顺</v>
          </cell>
          <cell r="B194" t="str">
            <v>300033.SZ</v>
          </cell>
        </row>
        <row r="195">
          <cell r="A195" t="str">
            <v>杰赛科技</v>
          </cell>
          <cell r="B195" t="str">
            <v>002544.SZ</v>
          </cell>
        </row>
        <row r="196">
          <cell r="A196" t="str">
            <v>广发证券</v>
          </cell>
          <cell r="B196" t="str">
            <v>000776.SZ</v>
          </cell>
        </row>
        <row r="197">
          <cell r="A197" t="str">
            <v>新希望</v>
          </cell>
          <cell r="B197" t="str">
            <v>000876.SZ</v>
          </cell>
        </row>
        <row r="198">
          <cell r="A198" t="str">
            <v>博云新材</v>
          </cell>
          <cell r="B198" t="str">
            <v>002297.SZ</v>
          </cell>
        </row>
        <row r="199">
          <cell r="A199" t="str">
            <v>英威腾</v>
          </cell>
          <cell r="B199" t="str">
            <v>002334.SZ</v>
          </cell>
        </row>
        <row r="200">
          <cell r="A200" t="str">
            <v>龙洲股份</v>
          </cell>
          <cell r="B200" t="str">
            <v>002682.SZ</v>
          </cell>
        </row>
        <row r="201">
          <cell r="A201" t="str">
            <v>巨力索具</v>
          </cell>
          <cell r="B201" t="str">
            <v>002342.SZ</v>
          </cell>
        </row>
        <row r="202">
          <cell r="A202" t="str">
            <v>隆基机械</v>
          </cell>
          <cell r="B202" t="str">
            <v>002363.SZ</v>
          </cell>
        </row>
        <row r="203">
          <cell r="A203" t="str">
            <v>三维通信</v>
          </cell>
          <cell r="B203" t="str">
            <v>002115.SZ</v>
          </cell>
        </row>
        <row r="204">
          <cell r="A204" t="str">
            <v>三湘股份</v>
          </cell>
          <cell r="B204" t="str">
            <v>000863.SZ</v>
          </cell>
        </row>
        <row r="205">
          <cell r="A205" t="str">
            <v>华测检测</v>
          </cell>
          <cell r="B205" t="str">
            <v>300012.SZ</v>
          </cell>
        </row>
        <row r="206">
          <cell r="A206" t="str">
            <v>开尔新材</v>
          </cell>
          <cell r="B206" t="str">
            <v>300234.SZ</v>
          </cell>
        </row>
        <row r="207">
          <cell r="A207" t="str">
            <v>步步高</v>
          </cell>
          <cell r="B207" t="str">
            <v>002251.SZ</v>
          </cell>
        </row>
        <row r="208">
          <cell r="A208" t="str">
            <v>长荣股份</v>
          </cell>
          <cell r="B208" t="str">
            <v>300195.SZ</v>
          </cell>
        </row>
        <row r="209">
          <cell r="A209" t="str">
            <v>华意压缩</v>
          </cell>
          <cell r="B209" t="str">
            <v>000404.SZ</v>
          </cell>
        </row>
        <row r="210">
          <cell r="A210" t="str">
            <v>北京利尔</v>
          </cell>
          <cell r="B210" t="str">
            <v>002392.SZ</v>
          </cell>
        </row>
        <row r="211">
          <cell r="A211" t="str">
            <v>千足珍珠</v>
          </cell>
          <cell r="B211" t="str">
            <v>002173.SZ</v>
          </cell>
        </row>
        <row r="212">
          <cell r="A212" t="str">
            <v>恒逸石化</v>
          </cell>
          <cell r="B212" t="str">
            <v>000703.SZ</v>
          </cell>
        </row>
        <row r="213">
          <cell r="A213" t="str">
            <v>皖通高速</v>
          </cell>
          <cell r="B213" t="str">
            <v>600012.SH</v>
          </cell>
        </row>
        <row r="214">
          <cell r="A214" t="str">
            <v>南钢股份</v>
          </cell>
          <cell r="B214" t="str">
            <v>600282.SH</v>
          </cell>
        </row>
        <row r="215">
          <cell r="A215" t="str">
            <v>辉丰股份</v>
          </cell>
          <cell r="B215" t="str">
            <v>002496.SZ</v>
          </cell>
        </row>
        <row r="216">
          <cell r="A216" t="str">
            <v>汉缆股份</v>
          </cell>
          <cell r="B216" t="str">
            <v>002498.SZ</v>
          </cell>
        </row>
        <row r="217">
          <cell r="A217" t="str">
            <v>国农科技</v>
          </cell>
          <cell r="B217" t="str">
            <v>000004.SZ</v>
          </cell>
        </row>
        <row r="218">
          <cell r="A218" t="str">
            <v>天广消防</v>
          </cell>
          <cell r="B218" t="str">
            <v>002509.SZ</v>
          </cell>
        </row>
        <row r="219">
          <cell r="A219" t="str">
            <v>广博股份</v>
          </cell>
          <cell r="B219" t="str">
            <v>002103.SZ</v>
          </cell>
        </row>
        <row r="220">
          <cell r="A220" t="str">
            <v>富临精工</v>
          </cell>
          <cell r="B220" t="str">
            <v>300432.SZ</v>
          </cell>
        </row>
        <row r="221">
          <cell r="A221" t="str">
            <v>网宿科技</v>
          </cell>
          <cell r="B221" t="str">
            <v>300017.SZ</v>
          </cell>
        </row>
        <row r="222">
          <cell r="A222" t="str">
            <v>中飞股份</v>
          </cell>
          <cell r="B222" t="str">
            <v>300489.SZ</v>
          </cell>
        </row>
        <row r="223">
          <cell r="A223" t="str">
            <v>振芯科技</v>
          </cell>
          <cell r="B223" t="str">
            <v>300101.SZ</v>
          </cell>
        </row>
        <row r="224">
          <cell r="A224" t="str">
            <v>通光线缆</v>
          </cell>
          <cell r="B224" t="str">
            <v>300265.SZ</v>
          </cell>
        </row>
        <row r="225">
          <cell r="A225" t="str">
            <v>永贵电器</v>
          </cell>
          <cell r="B225" t="str">
            <v>300351.SZ</v>
          </cell>
        </row>
        <row r="226">
          <cell r="A226" t="str">
            <v>汉得信息</v>
          </cell>
          <cell r="B226" t="str">
            <v>300170.SZ</v>
          </cell>
        </row>
        <row r="227">
          <cell r="A227" t="str">
            <v>司尔特</v>
          </cell>
          <cell r="B227" t="str">
            <v>002538.SZ</v>
          </cell>
        </row>
        <row r="228">
          <cell r="A228" t="str">
            <v>力源信息</v>
          </cell>
          <cell r="B228" t="str">
            <v>300184.SZ</v>
          </cell>
        </row>
        <row r="229">
          <cell r="A229" t="str">
            <v>宜安科技</v>
          </cell>
          <cell r="B229" t="str">
            <v>300328.SZ</v>
          </cell>
        </row>
        <row r="230">
          <cell r="A230" t="str">
            <v>快乐购</v>
          </cell>
          <cell r="B230" t="str">
            <v>300413.SZ</v>
          </cell>
        </row>
        <row r="231">
          <cell r="A231" t="str">
            <v>云海金属</v>
          </cell>
          <cell r="B231" t="str">
            <v>002182.SZ</v>
          </cell>
        </row>
        <row r="232">
          <cell r="A232" t="str">
            <v>万邦达</v>
          </cell>
          <cell r="B232" t="str">
            <v>300055.SZ</v>
          </cell>
        </row>
        <row r="233">
          <cell r="A233" t="str">
            <v>凯发电气</v>
          </cell>
          <cell r="B233" t="str">
            <v>300407.SZ</v>
          </cell>
        </row>
        <row r="234">
          <cell r="A234" t="str">
            <v>卫士通</v>
          </cell>
          <cell r="B234" t="str">
            <v>002268.SZ</v>
          </cell>
        </row>
        <row r="235">
          <cell r="A235" t="str">
            <v>新洋丰</v>
          </cell>
          <cell r="B235" t="str">
            <v>000902.SZ</v>
          </cell>
        </row>
        <row r="236">
          <cell r="A236" t="str">
            <v>利源精制</v>
          </cell>
          <cell r="B236" t="str">
            <v>002501.SZ</v>
          </cell>
        </row>
        <row r="237">
          <cell r="A237" t="str">
            <v>万马股份</v>
          </cell>
          <cell r="B237" t="str">
            <v>002276.SZ</v>
          </cell>
        </row>
        <row r="238">
          <cell r="A238" t="str">
            <v>博晖创新</v>
          </cell>
          <cell r="B238" t="str">
            <v>300318.SZ</v>
          </cell>
        </row>
        <row r="239">
          <cell r="A239" t="str">
            <v>三泰电子</v>
          </cell>
          <cell r="B239" t="str">
            <v>002312.SZ</v>
          </cell>
        </row>
        <row r="240">
          <cell r="A240" t="str">
            <v>北京君正</v>
          </cell>
          <cell r="B240" t="str">
            <v>300223.SZ</v>
          </cell>
        </row>
        <row r="241">
          <cell r="A241" t="str">
            <v>富奥股份</v>
          </cell>
          <cell r="B241" t="str">
            <v>000030.SZ</v>
          </cell>
        </row>
        <row r="242">
          <cell r="A242" t="str">
            <v>天原集团</v>
          </cell>
          <cell r="B242" t="str">
            <v>002386.SZ</v>
          </cell>
        </row>
        <row r="243">
          <cell r="A243" t="str">
            <v>上海物贸</v>
          </cell>
          <cell r="B243" t="str">
            <v>600822.SH</v>
          </cell>
        </row>
        <row r="244">
          <cell r="A244" t="str">
            <v>襄阳轴承</v>
          </cell>
          <cell r="B244" t="str">
            <v>000678.SZ</v>
          </cell>
        </row>
        <row r="245">
          <cell r="A245" t="str">
            <v>神剑股份</v>
          </cell>
          <cell r="B245" t="str">
            <v>002361.SZ</v>
          </cell>
        </row>
        <row r="246">
          <cell r="A246" t="str">
            <v>国光股份</v>
          </cell>
          <cell r="B246" t="str">
            <v>002749.SZ</v>
          </cell>
        </row>
        <row r="247">
          <cell r="A247" t="str">
            <v>鸿特精密</v>
          </cell>
          <cell r="B247" t="str">
            <v>300176.SZ</v>
          </cell>
        </row>
        <row r="248">
          <cell r="A248" t="str">
            <v>金宇车城</v>
          </cell>
          <cell r="B248" t="str">
            <v>000803.SZ</v>
          </cell>
        </row>
        <row r="249">
          <cell r="A249" t="str">
            <v>科恒股份</v>
          </cell>
          <cell r="B249" t="str">
            <v>300340.SZ</v>
          </cell>
        </row>
        <row r="250">
          <cell r="A250" t="str">
            <v>万福生科</v>
          </cell>
          <cell r="B250" t="str">
            <v>300268.SZ</v>
          </cell>
        </row>
        <row r="251">
          <cell r="A251" t="str">
            <v>美都能源</v>
          </cell>
          <cell r="B251" t="str">
            <v>600175.SH</v>
          </cell>
        </row>
        <row r="252">
          <cell r="A252" t="str">
            <v>石英股份</v>
          </cell>
          <cell r="B252" t="str">
            <v>603688.SH</v>
          </cell>
        </row>
        <row r="253">
          <cell r="A253" t="str">
            <v>中科英华</v>
          </cell>
          <cell r="B253" t="str">
            <v>600110.SH</v>
          </cell>
        </row>
        <row r="254">
          <cell r="A254" t="str">
            <v>东风汽车</v>
          </cell>
          <cell r="B254" t="str">
            <v>600006.SH</v>
          </cell>
        </row>
        <row r="255">
          <cell r="A255" t="str">
            <v>安阳钢铁</v>
          </cell>
          <cell r="B255" t="str">
            <v>600569.SH</v>
          </cell>
        </row>
        <row r="256">
          <cell r="A256" t="str">
            <v>理工监测</v>
          </cell>
          <cell r="B256" t="str">
            <v>002322.SZ</v>
          </cell>
        </row>
        <row r="257">
          <cell r="A257" t="str">
            <v>国元证券</v>
          </cell>
          <cell r="B257" t="str">
            <v>000728.SZ</v>
          </cell>
        </row>
        <row r="258">
          <cell r="A258" t="str">
            <v>吉林敖东</v>
          </cell>
          <cell r="B258" t="str">
            <v>000623.SZ</v>
          </cell>
        </row>
        <row r="259">
          <cell r="A259" t="str">
            <v>西部证券</v>
          </cell>
          <cell r="B259" t="str">
            <v>002673.SZ</v>
          </cell>
        </row>
        <row r="260">
          <cell r="A260" t="str">
            <v>美欣达</v>
          </cell>
          <cell r="B260" t="str">
            <v>002034.SZ</v>
          </cell>
        </row>
        <row r="261">
          <cell r="A261" t="str">
            <v>科新机电</v>
          </cell>
          <cell r="B261" t="str">
            <v>300092.SZ</v>
          </cell>
        </row>
        <row r="262">
          <cell r="A262" t="str">
            <v>经纬电材</v>
          </cell>
          <cell r="B262" t="str">
            <v>300120.SZ</v>
          </cell>
        </row>
        <row r="263">
          <cell r="A263" t="str">
            <v>科泰电源</v>
          </cell>
          <cell r="B263" t="str">
            <v>300153.SZ</v>
          </cell>
        </row>
        <row r="264">
          <cell r="A264" t="str">
            <v>凯撒股份</v>
          </cell>
          <cell r="B264" t="str">
            <v>002425.SZ</v>
          </cell>
        </row>
        <row r="265">
          <cell r="A265" t="str">
            <v>摩恩电气</v>
          </cell>
          <cell r="B265" t="str">
            <v>002451.SZ</v>
          </cell>
        </row>
        <row r="266">
          <cell r="A266" t="str">
            <v>天龙集团</v>
          </cell>
          <cell r="B266" t="str">
            <v>300063.SZ</v>
          </cell>
        </row>
        <row r="267">
          <cell r="A267" t="str">
            <v>九洲电气</v>
          </cell>
          <cell r="B267" t="str">
            <v>300040.SZ</v>
          </cell>
        </row>
        <row r="268">
          <cell r="A268" t="str">
            <v>量子高科</v>
          </cell>
          <cell r="B268" t="str">
            <v>300149.SZ</v>
          </cell>
        </row>
        <row r="269">
          <cell r="A269" t="str">
            <v>鼎捷软件</v>
          </cell>
          <cell r="B269" t="str">
            <v>300378.SZ</v>
          </cell>
        </row>
        <row r="270">
          <cell r="A270" t="str">
            <v>首旅酒店</v>
          </cell>
          <cell r="B270" t="str">
            <v>600258.SH</v>
          </cell>
        </row>
        <row r="271">
          <cell r="A271" t="str">
            <v>劲嘉股份</v>
          </cell>
          <cell r="B271" t="str">
            <v>002191.SZ</v>
          </cell>
        </row>
        <row r="272">
          <cell r="A272" t="str">
            <v>珠江啤酒</v>
          </cell>
          <cell r="B272" t="str">
            <v>002461.SZ</v>
          </cell>
        </row>
        <row r="273">
          <cell r="A273" t="str">
            <v>渤海活塞</v>
          </cell>
          <cell r="B273" t="str">
            <v>600960.SH</v>
          </cell>
        </row>
        <row r="274">
          <cell r="A274" t="str">
            <v>飞马国际</v>
          </cell>
          <cell r="B274" t="str">
            <v>002210.SZ</v>
          </cell>
        </row>
        <row r="275">
          <cell r="A275" t="str">
            <v>元力股份</v>
          </cell>
          <cell r="B275" t="str">
            <v>300174.SZ</v>
          </cell>
        </row>
        <row r="276">
          <cell r="A276" t="str">
            <v>宏达新材</v>
          </cell>
          <cell r="B276" t="str">
            <v>002211.SZ</v>
          </cell>
        </row>
        <row r="277">
          <cell r="A277" t="str">
            <v>金禾实业</v>
          </cell>
          <cell r="B277" t="str">
            <v>002597.SZ</v>
          </cell>
        </row>
        <row r="278">
          <cell r="A278" t="str">
            <v>北海港</v>
          </cell>
          <cell r="B278" t="str">
            <v>000582.SZ</v>
          </cell>
        </row>
        <row r="279">
          <cell r="A279" t="str">
            <v>宝泰隆</v>
          </cell>
          <cell r="B279" t="str">
            <v>601011.SH</v>
          </cell>
        </row>
        <row r="280">
          <cell r="A280" t="str">
            <v>上工申贝</v>
          </cell>
          <cell r="B280" t="str">
            <v>600843.SH</v>
          </cell>
        </row>
        <row r="281">
          <cell r="A281" t="str">
            <v>长江传媒</v>
          </cell>
          <cell r="B281" t="str">
            <v>600757.SH</v>
          </cell>
        </row>
        <row r="282">
          <cell r="A282" t="str">
            <v>旗滨集团</v>
          </cell>
          <cell r="B282" t="str">
            <v>601636.SH</v>
          </cell>
        </row>
        <row r="283">
          <cell r="A283" t="str">
            <v>银基发展</v>
          </cell>
          <cell r="B283" t="str">
            <v>000511.SZ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56F2-2904-40CE-A21F-00E3B7347E2A}">
  <dimension ref="A1:H653"/>
  <sheetViews>
    <sheetView tabSelected="1" workbookViewId="0">
      <selection activeCell="B1" sqref="B1"/>
    </sheetView>
  </sheetViews>
  <sheetFormatPr defaultRowHeight="14.25" x14ac:dyDescent="0.2"/>
  <cols>
    <col min="1" max="1" width="8.625" customWidth="1"/>
    <col min="2" max="2" width="13" customWidth="1"/>
    <col min="3" max="3" width="25.5" customWidth="1"/>
    <col min="4" max="4" width="16.5"/>
    <col min="5" max="5" width="16.5" customWidth="1"/>
    <col min="6" max="6" width="35.5" hidden="1" customWidth="1"/>
    <col min="7" max="7" width="15.25" style="1" customWidth="1"/>
    <col min="8" max="8" width="90.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</row>
    <row r="2" spans="1:8" x14ac:dyDescent="0.2">
      <c r="A2">
        <v>202423</v>
      </c>
      <c r="B2" t="str">
        <f>VLOOKUP(C2,'[1]全部股票代码（手动检索）'!A:B,2,0)</f>
        <v>002730.SZ</v>
      </c>
      <c r="C2" t="s">
        <v>8</v>
      </c>
      <c r="D2" s="3">
        <v>44180</v>
      </c>
      <c r="E2" s="3">
        <v>44517</v>
      </c>
      <c r="G2" s="1">
        <v>45352</v>
      </c>
    </row>
    <row r="3" spans="1:8" x14ac:dyDescent="0.2">
      <c r="A3">
        <v>202409</v>
      </c>
      <c r="B3" t="s">
        <v>892</v>
      </c>
      <c r="C3" t="s">
        <v>9</v>
      </c>
      <c r="D3" s="3">
        <v>43263</v>
      </c>
      <c r="E3" s="3">
        <v>44015</v>
      </c>
      <c r="G3" s="1">
        <v>45307</v>
      </c>
    </row>
    <row r="4" spans="1:8" x14ac:dyDescent="0.2">
      <c r="B4" t="str">
        <f>VLOOKUP(C4,[1]补充空白与2019的股票代码!A:B,2,0)</f>
        <v>603518.SH</v>
      </c>
      <c r="C4" s="4" t="s">
        <v>10</v>
      </c>
      <c r="D4" s="3">
        <v>42941</v>
      </c>
      <c r="E4" s="3">
        <v>42961</v>
      </c>
      <c r="F4" s="1" t="s">
        <v>11</v>
      </c>
      <c r="G4" s="1">
        <v>45306</v>
      </c>
      <c r="H4" t="s">
        <v>12</v>
      </c>
    </row>
    <row r="5" spans="1:8" x14ac:dyDescent="0.2">
      <c r="B5" t="str">
        <f>VLOOKUP(C5,[1]补充空白与2019的股票代码!A:B,2,0)</f>
        <v>603518.SH</v>
      </c>
      <c r="C5" s="4" t="s">
        <v>10</v>
      </c>
      <c r="D5" s="3">
        <v>42970</v>
      </c>
      <c r="E5" s="3">
        <v>42992</v>
      </c>
      <c r="F5" s="1" t="s">
        <v>13</v>
      </c>
      <c r="G5" s="1">
        <v>45306</v>
      </c>
    </row>
    <row r="6" spans="1:8" x14ac:dyDescent="0.2">
      <c r="B6" t="str">
        <f>VLOOKUP(C6,[1]补充空白与2019的股票代码!A:B,2,0)</f>
        <v>603665.SH</v>
      </c>
      <c r="C6" t="s">
        <v>14</v>
      </c>
      <c r="D6" s="3">
        <v>42998</v>
      </c>
      <c r="E6" s="3">
        <v>43007</v>
      </c>
      <c r="F6" t="s">
        <v>15</v>
      </c>
      <c r="G6" s="1">
        <v>45306</v>
      </c>
    </row>
    <row r="7" spans="1:8" x14ac:dyDescent="0.2">
      <c r="B7" t="str">
        <f>VLOOKUP(C7,[1]补充空白与2019的股票代码!A:B,2,0)</f>
        <v>603586.SH</v>
      </c>
      <c r="C7" t="s">
        <v>16</v>
      </c>
      <c r="D7" s="3">
        <v>42969</v>
      </c>
      <c r="E7" s="3">
        <v>42978</v>
      </c>
      <c r="F7" t="s">
        <v>17</v>
      </c>
      <c r="G7" s="1">
        <v>45306</v>
      </c>
      <c r="H7" t="s">
        <v>12</v>
      </c>
    </row>
    <row r="8" spans="1:8" x14ac:dyDescent="0.2">
      <c r="B8" t="str">
        <f>VLOOKUP(C8,[1]补充空白与2019的股票代码!A:B,2,0)</f>
        <v>603586.SH</v>
      </c>
      <c r="C8" t="s">
        <v>16</v>
      </c>
      <c r="D8" s="3">
        <v>42982</v>
      </c>
      <c r="E8" s="3">
        <v>43000</v>
      </c>
      <c r="F8" t="s">
        <v>18</v>
      </c>
      <c r="G8" s="1">
        <v>45306</v>
      </c>
    </row>
    <row r="9" spans="1:8" x14ac:dyDescent="0.2">
      <c r="B9" t="str">
        <f>VLOOKUP(C9,[1]补充空白与2019的股票代码!A:B,2,0)</f>
        <v>603926.SH</v>
      </c>
      <c r="C9" t="s">
        <v>19</v>
      </c>
      <c r="D9" s="3">
        <v>42962</v>
      </c>
      <c r="E9" s="3">
        <v>42972</v>
      </c>
      <c r="F9" t="s">
        <v>20</v>
      </c>
      <c r="G9" s="1">
        <v>45306</v>
      </c>
    </row>
    <row r="10" spans="1:8" x14ac:dyDescent="0.2">
      <c r="B10" t="str">
        <f>VLOOKUP(C10,[1]补充空白与2019的股票代码!A:B,2,0)</f>
        <v>603116.SH</v>
      </c>
      <c r="C10" t="s">
        <v>21</v>
      </c>
      <c r="D10" s="3">
        <v>42940</v>
      </c>
      <c r="E10" s="3">
        <v>42949</v>
      </c>
      <c r="F10" t="s">
        <v>22</v>
      </c>
      <c r="G10" s="1">
        <v>45306</v>
      </c>
      <c r="H10" t="s">
        <v>12</v>
      </c>
    </row>
    <row r="11" spans="1:8" x14ac:dyDescent="0.2">
      <c r="B11" t="str">
        <f>VLOOKUP(C11,[1]补充空白与2019的股票代码!A:B,2,0)</f>
        <v>603116.SH</v>
      </c>
      <c r="C11" t="s">
        <v>21</v>
      </c>
      <c r="D11" s="3">
        <v>42978</v>
      </c>
      <c r="E11" s="3">
        <v>42986</v>
      </c>
      <c r="F11" t="s">
        <v>23</v>
      </c>
      <c r="G11" s="1">
        <v>45306</v>
      </c>
    </row>
    <row r="12" spans="1:8" x14ac:dyDescent="0.2">
      <c r="B12" t="str">
        <f>VLOOKUP(C12,[1]补充空白与2019的股票代码!A:B,2,0)</f>
        <v>603218.SH</v>
      </c>
      <c r="C12" t="s">
        <v>24</v>
      </c>
      <c r="D12" s="3">
        <v>42936</v>
      </c>
      <c r="E12" s="3">
        <v>42942</v>
      </c>
      <c r="F12" t="s">
        <v>25</v>
      </c>
      <c r="G12" s="1">
        <v>45306</v>
      </c>
    </row>
    <row r="13" spans="1:8" x14ac:dyDescent="0.2">
      <c r="B13" t="str">
        <f>VLOOKUP(C13,[1]补充空白与2019的股票代码!A:B,2,0)</f>
        <v>603877.SH</v>
      </c>
      <c r="C13" t="s">
        <v>26</v>
      </c>
      <c r="D13" s="3">
        <v>42912</v>
      </c>
      <c r="E13" s="3">
        <v>42923</v>
      </c>
      <c r="F13" t="s">
        <v>27</v>
      </c>
      <c r="G13" s="1">
        <v>45306</v>
      </c>
      <c r="H13" t="s">
        <v>12</v>
      </c>
    </row>
    <row r="14" spans="1:8" x14ac:dyDescent="0.2">
      <c r="B14" t="str">
        <f>VLOOKUP(C14,[1]补充空白与2019的股票代码!A:B,2,0)</f>
        <v>603877.SH</v>
      </c>
      <c r="C14" t="s">
        <v>26</v>
      </c>
      <c r="D14" s="3">
        <v>42936</v>
      </c>
      <c r="E14" s="3">
        <v>42944</v>
      </c>
      <c r="F14" t="s">
        <v>28</v>
      </c>
      <c r="G14" s="1">
        <v>45306</v>
      </c>
    </row>
    <row r="15" spans="1:8" x14ac:dyDescent="0.2">
      <c r="B15" t="str">
        <f>VLOOKUP(C15,[1]补充空白与2019的股票代码!A:B,2,0)</f>
        <v>603758.SH</v>
      </c>
      <c r="C15" t="s">
        <v>29</v>
      </c>
      <c r="D15" s="3">
        <v>43172</v>
      </c>
      <c r="E15" s="3">
        <v>43193</v>
      </c>
      <c r="F15" t="s">
        <v>30</v>
      </c>
      <c r="G15" s="1">
        <v>45306</v>
      </c>
    </row>
    <row r="16" spans="1:8" x14ac:dyDescent="0.2">
      <c r="B16" t="str">
        <f>VLOOKUP(C16,[1]补充空白与2019的股票代码!A:B,2,0)</f>
        <v>603159.SH</v>
      </c>
      <c r="C16" t="s">
        <v>31</v>
      </c>
      <c r="D16" s="3">
        <v>43168</v>
      </c>
      <c r="E16" s="3">
        <v>43175</v>
      </c>
      <c r="F16" t="s">
        <v>32</v>
      </c>
      <c r="G16" s="1">
        <v>45306</v>
      </c>
    </row>
    <row r="17" spans="1:8" x14ac:dyDescent="0.2">
      <c r="B17" t="str">
        <f>VLOOKUP(C17,[1]补充空白与2019的股票代码!A:B,2,0)</f>
        <v>603985.SH</v>
      </c>
      <c r="C17" t="s">
        <v>33</v>
      </c>
      <c r="D17" s="3">
        <v>43192</v>
      </c>
      <c r="E17" s="3">
        <v>43215</v>
      </c>
      <c r="F17" t="s">
        <v>34</v>
      </c>
      <c r="G17" s="1">
        <v>45306</v>
      </c>
    </row>
    <row r="18" spans="1:8" x14ac:dyDescent="0.2">
      <c r="B18" t="str">
        <f>VLOOKUP(C18,[1]补充空白与2019的股票代码!A:B,2,0)</f>
        <v>603767.SH</v>
      </c>
      <c r="C18" t="s">
        <v>35</v>
      </c>
      <c r="D18" s="3">
        <v>43165</v>
      </c>
      <c r="E18" s="3">
        <v>43201</v>
      </c>
      <c r="F18" t="s">
        <v>36</v>
      </c>
      <c r="G18" s="1">
        <v>45306</v>
      </c>
    </row>
    <row r="19" spans="1:8" x14ac:dyDescent="0.2">
      <c r="A19">
        <v>202402</v>
      </c>
      <c r="B19" t="str">
        <f>VLOOKUP(C19,'[1]全部股票代码（手动检索）'!A:B,2,0)</f>
        <v>300289.SZ</v>
      </c>
      <c r="C19" t="s">
        <v>37</v>
      </c>
      <c r="D19" s="3">
        <v>42801</v>
      </c>
      <c r="E19" s="3">
        <v>42951</v>
      </c>
      <c r="G19" s="1">
        <v>45296</v>
      </c>
    </row>
    <row r="20" spans="1:8" x14ac:dyDescent="0.2">
      <c r="A20">
        <v>2023151</v>
      </c>
      <c r="B20" t="str">
        <f>VLOOKUP(C20,'[1]全部股票代码（手动检索）'!A:B,2,0)</f>
        <v>603638.SH</v>
      </c>
      <c r="C20" t="s">
        <v>38</v>
      </c>
      <c r="D20" s="3">
        <v>43228</v>
      </c>
      <c r="E20" s="3">
        <v>44761</v>
      </c>
      <c r="G20" s="1">
        <v>45279</v>
      </c>
    </row>
    <row r="21" spans="1:8" x14ac:dyDescent="0.2">
      <c r="A21">
        <v>202383</v>
      </c>
      <c r="B21" t="s">
        <v>894</v>
      </c>
      <c r="C21" t="s">
        <v>39</v>
      </c>
      <c r="D21" s="3">
        <v>43045</v>
      </c>
      <c r="E21" s="3">
        <v>43584</v>
      </c>
      <c r="F21" t="s">
        <v>40</v>
      </c>
      <c r="G21" s="1">
        <v>45260</v>
      </c>
    </row>
    <row r="22" spans="1:8" x14ac:dyDescent="0.2">
      <c r="A22">
        <v>202377</v>
      </c>
      <c r="B22" t="str">
        <f>VLOOKUP(C22,'[1]全部股票代码（手动检索）'!A:B,2,0)</f>
        <v>002358.SZ</v>
      </c>
      <c r="C22" t="s">
        <v>41</v>
      </c>
      <c r="D22" s="5">
        <v>43166</v>
      </c>
      <c r="E22" s="5">
        <v>43523</v>
      </c>
      <c r="G22" s="1">
        <v>45230</v>
      </c>
      <c r="H22" t="s">
        <v>42</v>
      </c>
    </row>
    <row r="23" spans="1:8" x14ac:dyDescent="0.2">
      <c r="A23">
        <v>202370</v>
      </c>
      <c r="B23" t="s">
        <v>893</v>
      </c>
      <c r="C23" t="s">
        <v>43</v>
      </c>
      <c r="D23" s="5">
        <v>43076</v>
      </c>
      <c r="E23" s="5">
        <v>43248</v>
      </c>
      <c r="F23" t="s">
        <v>44</v>
      </c>
      <c r="G23" s="1">
        <v>45222</v>
      </c>
    </row>
    <row r="24" spans="1:8" x14ac:dyDescent="0.2">
      <c r="B24" t="str">
        <f>VLOOKUP(C24,'[1]全部股票代码（手动检索）'!A:B,2,0)</f>
        <v>002734.SZ</v>
      </c>
      <c r="C24" t="s">
        <v>46</v>
      </c>
      <c r="D24" s="5">
        <v>42345</v>
      </c>
      <c r="E24" s="5">
        <v>42489</v>
      </c>
      <c r="F24" t="s">
        <v>47</v>
      </c>
      <c r="G24" s="1">
        <v>45191</v>
      </c>
    </row>
    <row r="25" spans="1:8" x14ac:dyDescent="0.2">
      <c r="B25" t="str">
        <f>VLOOKUP(C25,'[1]全部股票代码（手动检索）'!A:B,2,0)</f>
        <v>600328.SH</v>
      </c>
      <c r="C25" t="s">
        <v>48</v>
      </c>
      <c r="D25" s="5">
        <v>42314</v>
      </c>
      <c r="E25" s="5">
        <v>42479</v>
      </c>
      <c r="F25" t="s">
        <v>49</v>
      </c>
      <c r="G25" s="1">
        <v>45191</v>
      </c>
    </row>
    <row r="26" spans="1:8" x14ac:dyDescent="0.2">
      <c r="B26" t="str">
        <f>VLOOKUP(C26,'[1]全部股票代码（手动检索）'!A:B,2,0)</f>
        <v>603309.SH</v>
      </c>
      <c r="C26" t="s">
        <v>50</v>
      </c>
      <c r="D26" s="5">
        <v>42341</v>
      </c>
      <c r="E26" s="5">
        <v>42489</v>
      </c>
      <c r="F26" t="s">
        <v>51</v>
      </c>
      <c r="G26" s="1">
        <v>45191</v>
      </c>
    </row>
    <row r="27" spans="1:8" x14ac:dyDescent="0.2">
      <c r="B27" t="str">
        <f>VLOOKUP(C27,'[1]全部股票代码（手动检索）'!A:B,2,0)</f>
        <v>600560.SH</v>
      </c>
      <c r="C27" t="s">
        <v>52</v>
      </c>
      <c r="D27" s="5">
        <v>42332</v>
      </c>
      <c r="E27" s="5">
        <v>42537</v>
      </c>
      <c r="F27" t="s">
        <v>53</v>
      </c>
      <c r="G27" s="1">
        <v>45191</v>
      </c>
    </row>
    <row r="28" spans="1:8" x14ac:dyDescent="0.2">
      <c r="B28" t="str">
        <f>VLOOKUP(C28,'[1]全部股票代码（手动检索）'!A:B,2,0)</f>
        <v>600310.SH</v>
      </c>
      <c r="C28" t="s">
        <v>54</v>
      </c>
      <c r="D28" s="5">
        <v>42384</v>
      </c>
      <c r="E28" s="5">
        <v>42480</v>
      </c>
      <c r="F28" t="s">
        <v>55</v>
      </c>
      <c r="G28" s="1">
        <v>45191</v>
      </c>
    </row>
    <row r="29" spans="1:8" x14ac:dyDescent="0.2">
      <c r="B29" t="str">
        <f>VLOOKUP(C29,'[1]全部股票代码（手动检索）'!A:B,2,0)</f>
        <v>300309.SZ</v>
      </c>
      <c r="C29" t="s">
        <v>56</v>
      </c>
      <c r="D29" s="5">
        <v>42318</v>
      </c>
      <c r="E29" s="5">
        <v>42522</v>
      </c>
      <c r="F29" t="s">
        <v>57</v>
      </c>
      <c r="G29" s="1">
        <v>45191</v>
      </c>
    </row>
    <row r="30" spans="1:8" x14ac:dyDescent="0.2">
      <c r="B30" t="str">
        <f>VLOOKUP(C30,'[1]全部股票代码（手动检索）'!A:B,2,0)</f>
        <v>000411.SZ</v>
      </c>
      <c r="C30" t="s">
        <v>58</v>
      </c>
      <c r="D30" s="5">
        <v>42396</v>
      </c>
      <c r="E30" s="5">
        <v>42544</v>
      </c>
      <c r="F30" t="s">
        <v>59</v>
      </c>
      <c r="G30" s="1">
        <v>45191</v>
      </c>
    </row>
    <row r="31" spans="1:8" x14ac:dyDescent="0.2">
      <c r="B31" t="str">
        <f>VLOOKUP(C31,'[1]全部股票代码（手动检索）'!A:B,2,0)</f>
        <v>000702.SZ</v>
      </c>
      <c r="C31" t="s">
        <v>60</v>
      </c>
      <c r="D31" s="5">
        <v>42180</v>
      </c>
      <c r="E31" s="5">
        <v>42562</v>
      </c>
      <c r="F31" t="s">
        <v>61</v>
      </c>
      <c r="G31" s="1">
        <v>45191</v>
      </c>
    </row>
    <row r="32" spans="1:8" x14ac:dyDescent="0.2">
      <c r="B32" t="str">
        <f>VLOOKUP(C32,'[1]全部股票代码（手动检索）'!A:B,2,0)</f>
        <v>000691.SZ</v>
      </c>
      <c r="C32" t="s">
        <v>62</v>
      </c>
      <c r="D32" s="5">
        <v>42236</v>
      </c>
      <c r="E32" s="5">
        <v>42325</v>
      </c>
      <c r="F32" t="s">
        <v>63</v>
      </c>
      <c r="G32" s="1">
        <v>45191</v>
      </c>
    </row>
    <row r="33" spans="1:7" x14ac:dyDescent="0.2">
      <c r="B33" t="str">
        <f>VLOOKUP(C33,'[1]全部股票代码（手动检索）'!A:B,2,0)</f>
        <v>300478.SZ</v>
      </c>
      <c r="C33" t="s">
        <v>64</v>
      </c>
      <c r="D33" s="5">
        <v>42212</v>
      </c>
      <c r="E33" s="5">
        <v>42332</v>
      </c>
      <c r="F33" t="s">
        <v>65</v>
      </c>
      <c r="G33" s="1">
        <v>45191</v>
      </c>
    </row>
    <row r="34" spans="1:7" x14ac:dyDescent="0.2">
      <c r="B34" t="str">
        <f>VLOOKUP(C34,'[1]全部股票代码（手动检索）'!A:B,2,0)</f>
        <v>002072.SZ</v>
      </c>
      <c r="C34" t="s">
        <v>66</v>
      </c>
      <c r="D34" s="5">
        <v>42396</v>
      </c>
      <c r="E34" s="5">
        <v>42710</v>
      </c>
      <c r="F34" t="s">
        <v>67</v>
      </c>
      <c r="G34" s="1">
        <v>45191</v>
      </c>
    </row>
    <row r="35" spans="1:7" x14ac:dyDescent="0.2">
      <c r="B35" t="str">
        <f>VLOOKUP(C35,'[1]全部股票代码（手动检索）'!A:B,2,0)</f>
        <v>002509.SZ</v>
      </c>
      <c r="C35" t="s">
        <v>68</v>
      </c>
      <c r="D35" s="5">
        <v>42227</v>
      </c>
      <c r="E35" s="5">
        <v>42440</v>
      </c>
      <c r="F35" t="s">
        <v>69</v>
      </c>
      <c r="G35" s="1">
        <v>45191</v>
      </c>
    </row>
    <row r="36" spans="1:7" x14ac:dyDescent="0.2">
      <c r="B36" t="str">
        <f>VLOOKUP(C36,'[1]全部股票代码（手动检索）'!A:B,2,0)</f>
        <v>002453.SZ</v>
      </c>
      <c r="C36" t="s">
        <v>70</v>
      </c>
      <c r="D36" s="5">
        <v>42346</v>
      </c>
      <c r="E36" s="5">
        <v>42548</v>
      </c>
      <c r="F36" t="s">
        <v>71</v>
      </c>
      <c r="G36" s="1">
        <v>45191</v>
      </c>
    </row>
    <row r="37" spans="1:7" x14ac:dyDescent="0.2">
      <c r="B37" t="str">
        <f>VLOOKUP(C37,'[1]全部股票代码（手动检索）'!A:B,2,0)</f>
        <v>002198.SZ</v>
      </c>
      <c r="C37" t="s">
        <v>72</v>
      </c>
      <c r="D37" s="5">
        <v>42146</v>
      </c>
      <c r="E37" s="5">
        <v>42454</v>
      </c>
      <c r="F37" t="s">
        <v>73</v>
      </c>
      <c r="G37" s="1">
        <v>45191</v>
      </c>
    </row>
    <row r="38" spans="1:7" x14ac:dyDescent="0.2">
      <c r="B38" t="str">
        <f>VLOOKUP(C38,'[1]全部股票代码（手动检索）'!A:B,2,0)</f>
        <v>002760.SZ</v>
      </c>
      <c r="C38" t="s">
        <v>74</v>
      </c>
      <c r="D38" s="5">
        <v>42601</v>
      </c>
      <c r="E38" s="5">
        <v>42712</v>
      </c>
      <c r="F38" t="s">
        <v>75</v>
      </c>
      <c r="G38" s="1">
        <v>45191</v>
      </c>
    </row>
    <row r="39" spans="1:7" x14ac:dyDescent="0.2">
      <c r="B39" t="str">
        <f>VLOOKUP(C39,'[1]全部股票代码（手动检索）'!A:B,2,0)</f>
        <v>600165.SH</v>
      </c>
      <c r="C39" t="s">
        <v>76</v>
      </c>
      <c r="D39" s="5">
        <v>42759</v>
      </c>
      <c r="E39" s="5">
        <v>42822</v>
      </c>
      <c r="F39" t="s">
        <v>77</v>
      </c>
      <c r="G39" s="1">
        <v>45191</v>
      </c>
    </row>
    <row r="40" spans="1:7" x14ac:dyDescent="0.2">
      <c r="A40">
        <v>202364</v>
      </c>
      <c r="B40" t="str">
        <f>VLOOKUP(C40,'[1]全部股票代码（手动检索）'!A:B,2,0)</f>
        <v>832966.NQ</v>
      </c>
      <c r="C40" t="s">
        <v>78</v>
      </c>
      <c r="D40" s="5">
        <v>42984</v>
      </c>
      <c r="E40" s="5">
        <v>43112</v>
      </c>
      <c r="F40" t="s">
        <v>79</v>
      </c>
      <c r="G40" s="1">
        <v>45170</v>
      </c>
    </row>
    <row r="41" spans="1:7" x14ac:dyDescent="0.2">
      <c r="A41">
        <v>202360</v>
      </c>
      <c r="B41" t="str">
        <f>VLOOKUP(C41,'[1]全部股票代码（手动检索）'!A:B,2,0)</f>
        <v>002858.SZ</v>
      </c>
      <c r="C41" t="s">
        <v>80</v>
      </c>
      <c r="D41" s="5">
        <v>43833</v>
      </c>
      <c r="E41" s="5">
        <v>44189</v>
      </c>
      <c r="F41" t="s">
        <v>81</v>
      </c>
      <c r="G41" s="1">
        <v>45154</v>
      </c>
    </row>
    <row r="42" spans="1:7" x14ac:dyDescent="0.2">
      <c r="A42">
        <v>202355</v>
      </c>
      <c r="B42" t="str">
        <f>VLOOKUP(C42,'[1]全部股票代码（手动检索）'!A:B,2,0)</f>
        <v>002760.SZ</v>
      </c>
      <c r="C42" t="s">
        <v>74</v>
      </c>
      <c r="D42" s="5">
        <v>43017</v>
      </c>
      <c r="E42" s="5">
        <v>43159</v>
      </c>
      <c r="F42" t="s">
        <v>82</v>
      </c>
      <c r="G42" s="1">
        <v>45121</v>
      </c>
    </row>
    <row r="43" spans="1:7" x14ac:dyDescent="0.2">
      <c r="A43">
        <v>202354</v>
      </c>
      <c r="B43" t="str">
        <f>VLOOKUP(C43,'[1]全部股票代码（手动检索）'!A:B,2,0)</f>
        <v>000673.SZ</v>
      </c>
      <c r="C43" t="s">
        <v>83</v>
      </c>
      <c r="D43" s="5">
        <v>42970</v>
      </c>
      <c r="E43" s="5">
        <v>43327</v>
      </c>
      <c r="F43" t="s">
        <v>84</v>
      </c>
      <c r="G43" s="1">
        <v>45113</v>
      </c>
    </row>
    <row r="44" spans="1:7" x14ac:dyDescent="0.2">
      <c r="A44">
        <v>202352</v>
      </c>
      <c r="B44" t="str">
        <f>VLOOKUP(C44,'[1]全部股票代码（手动检索）'!A:B,2,0)</f>
        <v>603726.SH</v>
      </c>
      <c r="C44" t="s">
        <v>85</v>
      </c>
      <c r="D44" s="5">
        <v>43773</v>
      </c>
      <c r="E44" s="5">
        <v>43928</v>
      </c>
      <c r="F44" t="s">
        <v>86</v>
      </c>
      <c r="G44" s="1">
        <v>45107</v>
      </c>
    </row>
    <row r="45" spans="1:7" x14ac:dyDescent="0.2">
      <c r="A45">
        <v>202349</v>
      </c>
      <c r="B45" t="str">
        <f>VLOOKUP(C45,'[1]全部股票代码（手动检索）'!A:B,2,0)</f>
        <v>603937.SH</v>
      </c>
      <c r="C45" t="s">
        <v>87</v>
      </c>
      <c r="D45" s="5">
        <v>43914</v>
      </c>
      <c r="E45" s="5">
        <v>44021</v>
      </c>
      <c r="F45" t="s">
        <v>88</v>
      </c>
      <c r="G45" s="1">
        <v>45106</v>
      </c>
    </row>
    <row r="46" spans="1:7" x14ac:dyDescent="0.2">
      <c r="A46" t="s">
        <v>89</v>
      </c>
      <c r="B46" t="str">
        <f>VLOOKUP(C46,'[1]全部股票代码（手动检索）'!A:B,2,0)</f>
        <v>300341.SZ</v>
      </c>
      <c r="C46" t="s">
        <v>90</v>
      </c>
      <c r="D46" s="5">
        <v>42926</v>
      </c>
      <c r="E46" s="5">
        <v>42947</v>
      </c>
      <c r="F46" t="s">
        <v>91</v>
      </c>
      <c r="G46" s="1">
        <v>45094</v>
      </c>
    </row>
    <row r="47" spans="1:7" x14ac:dyDescent="0.2">
      <c r="A47" t="s">
        <v>89</v>
      </c>
      <c r="B47" t="str">
        <f>VLOOKUP(C47,'[1]全部股票代码（手动检索）'!A:B,2,0)</f>
        <v>300250.SZ</v>
      </c>
      <c r="C47" t="s">
        <v>92</v>
      </c>
      <c r="D47" s="5">
        <v>43382</v>
      </c>
      <c r="E47" s="5">
        <v>43398</v>
      </c>
      <c r="F47" t="s">
        <v>93</v>
      </c>
      <c r="G47" s="1">
        <v>45094</v>
      </c>
    </row>
    <row r="48" spans="1:7" x14ac:dyDescent="0.2">
      <c r="B48" t="str">
        <f>VLOOKUP(C48,'[1]全部股票代码（手动检索）'!A:B,2,0)</f>
        <v>000032.SZ</v>
      </c>
      <c r="C48" t="s">
        <v>94</v>
      </c>
      <c r="D48" s="5">
        <v>43252</v>
      </c>
      <c r="E48" s="5">
        <v>43273</v>
      </c>
      <c r="F48" t="s">
        <v>95</v>
      </c>
      <c r="G48" s="1">
        <v>45094</v>
      </c>
    </row>
    <row r="49" spans="1:8" x14ac:dyDescent="0.2">
      <c r="B49" t="str">
        <f>VLOOKUP(C49,'[1]全部股票代码（手动检索）'!A:B,2,0)</f>
        <v>300605.SZ</v>
      </c>
      <c r="C49" t="s">
        <v>96</v>
      </c>
      <c r="D49" s="5">
        <v>43433</v>
      </c>
      <c r="E49" s="5">
        <v>43451</v>
      </c>
      <c r="F49" t="s">
        <v>97</v>
      </c>
      <c r="G49" s="1">
        <v>45094</v>
      </c>
    </row>
    <row r="50" spans="1:8" x14ac:dyDescent="0.2">
      <c r="B50" t="str">
        <f>VLOOKUP(C50,'[1]全部股票代码（手动检索）'!A:B,2,0)</f>
        <v>603721.SH</v>
      </c>
      <c r="C50" t="s">
        <v>98</v>
      </c>
      <c r="D50" s="5">
        <v>43171</v>
      </c>
      <c r="E50" s="5">
        <v>43199</v>
      </c>
      <c r="F50" t="s">
        <v>99</v>
      </c>
      <c r="G50" s="1">
        <v>45094</v>
      </c>
    </row>
    <row r="51" spans="1:8" x14ac:dyDescent="0.2">
      <c r="B51" t="str">
        <f>VLOOKUP(C51,'[1]全部股票代码（手动检索）'!A:B,2,0)</f>
        <v>600488.SH</v>
      </c>
      <c r="C51" t="s">
        <v>100</v>
      </c>
      <c r="D51" s="5">
        <v>43179</v>
      </c>
      <c r="E51" s="5">
        <v>43188</v>
      </c>
      <c r="F51" t="s">
        <v>101</v>
      </c>
      <c r="G51" s="1">
        <v>45094</v>
      </c>
    </row>
    <row r="52" spans="1:8" x14ac:dyDescent="0.2">
      <c r="B52" t="str">
        <f>VLOOKUP(C52,'[1]全部股票代码（手动检索）'!A:B,2,0)</f>
        <v>601226.SH</v>
      </c>
      <c r="C52" t="s">
        <v>102</v>
      </c>
      <c r="D52" s="5">
        <v>43045</v>
      </c>
      <c r="E52" s="5">
        <v>43070</v>
      </c>
      <c r="F52" t="s">
        <v>103</v>
      </c>
      <c r="G52" s="1">
        <v>45094</v>
      </c>
    </row>
    <row r="53" spans="1:8" x14ac:dyDescent="0.2">
      <c r="B53" t="str">
        <f>VLOOKUP(C53,'[1]全部股票代码（手动检索）'!A:B,2,0)</f>
        <v>600853.SH</v>
      </c>
      <c r="C53" t="s">
        <v>104</v>
      </c>
      <c r="D53" s="5">
        <v>42968</v>
      </c>
      <c r="E53" s="5">
        <v>42984</v>
      </c>
      <c r="F53" t="s">
        <v>105</v>
      </c>
      <c r="G53" s="1">
        <v>45094</v>
      </c>
    </row>
    <row r="54" spans="1:8" x14ac:dyDescent="0.2">
      <c r="B54" t="str">
        <f>VLOOKUP(C54,[1]补充空白与2019的股票代码!A:B,2,0)</f>
        <v>600633.SH</v>
      </c>
      <c r="C54" s="4" t="s">
        <v>106</v>
      </c>
      <c r="D54" s="5">
        <v>42674</v>
      </c>
      <c r="E54" s="5">
        <v>42944</v>
      </c>
      <c r="F54" t="s">
        <v>107</v>
      </c>
      <c r="G54" s="1">
        <v>45065</v>
      </c>
    </row>
    <row r="55" spans="1:8" x14ac:dyDescent="0.2">
      <c r="B55" t="str">
        <f>VLOOKUP(C55,[1]补充空白与2019的股票代码!A:B,2,0)</f>
        <v>002061.SZ</v>
      </c>
      <c r="C55" t="s">
        <v>108</v>
      </c>
      <c r="D55" s="5">
        <v>42972</v>
      </c>
      <c r="E55" s="5">
        <v>43238</v>
      </c>
      <c r="F55" t="s">
        <v>109</v>
      </c>
      <c r="G55" s="1">
        <v>45065</v>
      </c>
      <c r="H55" t="s">
        <v>12</v>
      </c>
    </row>
    <row r="56" spans="1:8" x14ac:dyDescent="0.2">
      <c r="B56" t="str">
        <f>VLOOKUP(C56,[1]补充空白与2019的股票代码!A:B,2,0)</f>
        <v>002061.SZ</v>
      </c>
      <c r="C56" t="s">
        <v>108</v>
      </c>
      <c r="D56" s="5">
        <v>43241</v>
      </c>
      <c r="E56" s="5">
        <v>43476</v>
      </c>
      <c r="F56" t="s">
        <v>110</v>
      </c>
      <c r="G56" s="1">
        <v>45065</v>
      </c>
    </row>
    <row r="57" spans="1:8" x14ac:dyDescent="0.2">
      <c r="A57">
        <v>202337</v>
      </c>
      <c r="B57" t="str">
        <f>VLOOKUP(C57,'[1]全部股票代码（手动检索）'!A:B,2,0)</f>
        <v>002776.SZ</v>
      </c>
      <c r="C57" t="s">
        <v>111</v>
      </c>
      <c r="D57" s="5">
        <v>43287</v>
      </c>
      <c r="E57" s="5">
        <v>43616</v>
      </c>
      <c r="F57" t="s">
        <v>112</v>
      </c>
      <c r="G57" s="1">
        <v>45064</v>
      </c>
    </row>
    <row r="58" spans="1:8" x14ac:dyDescent="0.2">
      <c r="B58" t="str">
        <f>VLOOKUP(C58,[1]补充空白与2019的股票代码!A:B,2,0)</f>
        <v>600307.SH</v>
      </c>
      <c r="C58" t="s">
        <v>113</v>
      </c>
      <c r="D58" s="5">
        <v>42107</v>
      </c>
      <c r="E58" s="5">
        <v>42138</v>
      </c>
      <c r="F58" t="s">
        <v>114</v>
      </c>
      <c r="G58" s="1">
        <v>45065</v>
      </c>
    </row>
    <row r="59" spans="1:8" x14ac:dyDescent="0.2">
      <c r="B59" t="str">
        <f>VLOOKUP(C59,[1]补充空白与2019的股票代码!A:B,2,0)</f>
        <v>F1006086.00</v>
      </c>
      <c r="C59" t="s">
        <v>115</v>
      </c>
      <c r="D59" s="5">
        <v>42157</v>
      </c>
      <c r="E59" s="5">
        <v>42219</v>
      </c>
      <c r="F59" t="s">
        <v>116</v>
      </c>
      <c r="G59" s="1">
        <v>45065</v>
      </c>
    </row>
    <row r="60" spans="1:8" x14ac:dyDescent="0.2">
      <c r="B60" t="str">
        <f>VLOOKUP(C60,[1]补充空白与2019的股票代码!A:B,2,0)</f>
        <v>000723.SZ</v>
      </c>
      <c r="C60" t="s">
        <v>117</v>
      </c>
      <c r="D60" s="5">
        <v>42166</v>
      </c>
      <c r="E60" s="5">
        <v>42234</v>
      </c>
      <c r="F60" t="s">
        <v>118</v>
      </c>
      <c r="G60" s="1">
        <v>45065</v>
      </c>
      <c r="H60" t="s">
        <v>12</v>
      </c>
    </row>
    <row r="61" spans="1:8" x14ac:dyDescent="0.2">
      <c r="B61" t="str">
        <f>VLOOKUP(C61,[1]补充空白与2019的股票代码!A:B,2,0)</f>
        <v>000723.SZ</v>
      </c>
      <c r="C61" t="s">
        <v>117</v>
      </c>
      <c r="D61" s="5">
        <v>42247</v>
      </c>
      <c r="E61" s="5">
        <v>42257</v>
      </c>
      <c r="F61" s="4" t="s">
        <v>119</v>
      </c>
      <c r="G61" s="1">
        <v>45065</v>
      </c>
    </row>
    <row r="62" spans="1:8" x14ac:dyDescent="0.2">
      <c r="B62" t="str">
        <f>VLOOKUP(C62,[1]补充空白与2019的股票代码!A:B,2,0)</f>
        <v>600281.SH</v>
      </c>
      <c r="C62" s="4" t="s">
        <v>120</v>
      </c>
      <c r="D62" s="5">
        <v>42180</v>
      </c>
      <c r="E62" s="5">
        <v>42207</v>
      </c>
      <c r="F62" t="s">
        <v>121</v>
      </c>
      <c r="G62" s="1">
        <v>45065</v>
      </c>
      <c r="H62" t="s">
        <v>12</v>
      </c>
    </row>
    <row r="63" spans="1:8" x14ac:dyDescent="0.2">
      <c r="B63" t="str">
        <f>VLOOKUP(C63,[1]补充空白与2019的股票代码!A:B,2,0)</f>
        <v>600281.SH</v>
      </c>
      <c r="C63" s="4" t="s">
        <v>120</v>
      </c>
      <c r="D63" s="5">
        <v>42215</v>
      </c>
      <c r="E63" s="5">
        <v>42226</v>
      </c>
      <c r="F63" t="s">
        <v>122</v>
      </c>
      <c r="G63" s="1">
        <v>45065</v>
      </c>
    </row>
    <row r="64" spans="1:8" x14ac:dyDescent="0.2">
      <c r="B64" t="str">
        <f>VLOOKUP(C64,[1]补充空白与2019的股票代码!A:B,2,0)</f>
        <v>000753.SZ</v>
      </c>
      <c r="C64" t="s">
        <v>123</v>
      </c>
      <c r="D64" s="5">
        <v>42205</v>
      </c>
      <c r="E64" s="5">
        <v>42264</v>
      </c>
      <c r="F64" s="4" t="s">
        <v>124</v>
      </c>
      <c r="G64" s="1">
        <v>45065</v>
      </c>
      <c r="H64" t="s">
        <v>12</v>
      </c>
    </row>
    <row r="65" spans="2:8" x14ac:dyDescent="0.2">
      <c r="B65" t="str">
        <f>VLOOKUP(C65,[1]补充空白与2019的股票代码!A:B,2,0)</f>
        <v>000753.SZ</v>
      </c>
      <c r="C65" t="s">
        <v>123</v>
      </c>
      <c r="D65" s="5">
        <v>42292</v>
      </c>
      <c r="E65" s="5">
        <v>42296</v>
      </c>
      <c r="F65" s="4" t="s">
        <v>125</v>
      </c>
      <c r="G65" s="1">
        <v>45065</v>
      </c>
    </row>
    <row r="66" spans="2:8" x14ac:dyDescent="0.2">
      <c r="B66" t="str">
        <f>VLOOKUP(C66,[1]补充空白与2019的股票代码!A:B,2,0)</f>
        <v>002093.SZ</v>
      </c>
      <c r="C66" s="4" t="s">
        <v>126</v>
      </c>
      <c r="D66" s="5">
        <v>42205</v>
      </c>
      <c r="E66" s="5">
        <v>42226</v>
      </c>
      <c r="F66" t="s">
        <v>127</v>
      </c>
      <c r="G66" s="1">
        <v>45065</v>
      </c>
      <c r="H66" t="s">
        <v>12</v>
      </c>
    </row>
    <row r="67" spans="2:8" x14ac:dyDescent="0.2">
      <c r="B67" t="str">
        <f>VLOOKUP(C67,[1]补充空白与2019的股票代码!A:B,2,0)</f>
        <v>002093.SZ</v>
      </c>
      <c r="C67" s="4" t="s">
        <v>126</v>
      </c>
      <c r="D67" s="5">
        <v>42244</v>
      </c>
      <c r="E67" s="5">
        <v>42254</v>
      </c>
      <c r="F67" s="4" t="s">
        <v>128</v>
      </c>
      <c r="G67" s="1">
        <v>45065</v>
      </c>
    </row>
    <row r="68" spans="2:8" x14ac:dyDescent="0.2">
      <c r="B68" t="str">
        <f>VLOOKUP(C68,[1]补充空白与2019的股票代码!A:B,2,0)</f>
        <v>000537.SZ</v>
      </c>
      <c r="C68" s="4" t="s">
        <v>129</v>
      </c>
      <c r="D68" s="5">
        <v>42208</v>
      </c>
      <c r="E68" s="5">
        <v>42255</v>
      </c>
      <c r="F68" s="4" t="s">
        <v>130</v>
      </c>
      <c r="G68" s="1">
        <v>45065</v>
      </c>
      <c r="H68" t="s">
        <v>131</v>
      </c>
    </row>
    <row r="69" spans="2:8" x14ac:dyDescent="0.2">
      <c r="B69" t="str">
        <f>VLOOKUP(C69,[1]补充空白与2019的股票代码!A:B,2,0)</f>
        <v>000537.SZ</v>
      </c>
      <c r="C69" s="4" t="s">
        <v>129</v>
      </c>
      <c r="D69" s="5">
        <v>42272</v>
      </c>
      <c r="E69" s="5">
        <v>42321</v>
      </c>
      <c r="F69" s="4" t="s">
        <v>132</v>
      </c>
      <c r="G69" s="1">
        <v>45065</v>
      </c>
    </row>
    <row r="70" spans="2:8" x14ac:dyDescent="0.2">
      <c r="B70" t="str">
        <f>VLOOKUP(C70,[1]补充空白与2019的股票代码!A:B,2,0)</f>
        <v>000537.SZ</v>
      </c>
      <c r="C70" s="4" t="s">
        <v>129</v>
      </c>
      <c r="D70" s="5">
        <v>42334</v>
      </c>
      <c r="E70" s="5">
        <v>42352</v>
      </c>
      <c r="F70" s="4" t="s">
        <v>133</v>
      </c>
      <c r="G70" s="1">
        <v>45065</v>
      </c>
    </row>
    <row r="71" spans="2:8" x14ac:dyDescent="0.2">
      <c r="B71" t="str">
        <f>VLOOKUP(C71,[1]补充空白与2019的股票代码!A:B,2,0)</f>
        <v>600303.SH</v>
      </c>
      <c r="C71" s="4" t="s">
        <v>134</v>
      </c>
      <c r="D71" s="5">
        <v>42229</v>
      </c>
      <c r="E71" s="5">
        <v>42249</v>
      </c>
      <c r="F71" s="4" t="s">
        <v>135</v>
      </c>
      <c r="G71" s="1">
        <v>45065</v>
      </c>
    </row>
    <row r="72" spans="2:8" x14ac:dyDescent="0.2">
      <c r="B72" t="str">
        <f>VLOOKUP(C72,[1]补充空白与2019的股票代码!A:B,2,0)</f>
        <v>600796.SH</v>
      </c>
      <c r="C72" s="4" t="s">
        <v>136</v>
      </c>
      <c r="D72" s="5">
        <v>42229</v>
      </c>
      <c r="E72" s="5">
        <v>42255</v>
      </c>
      <c r="F72" s="4" t="s">
        <v>137</v>
      </c>
      <c r="G72" s="1">
        <v>45065</v>
      </c>
    </row>
    <row r="73" spans="2:8" x14ac:dyDescent="0.2">
      <c r="B73" t="str">
        <f>VLOOKUP(C73,[1]补充空白与2019的股票代码!A:B,2,0)</f>
        <v>002133.SZ</v>
      </c>
      <c r="C73" s="4" t="s">
        <v>138</v>
      </c>
      <c r="D73" s="5">
        <v>42229</v>
      </c>
      <c r="E73" s="5">
        <v>42254</v>
      </c>
      <c r="F73" s="4" t="s">
        <v>139</v>
      </c>
      <c r="G73" s="1">
        <v>45065</v>
      </c>
    </row>
    <row r="74" spans="2:8" x14ac:dyDescent="0.2">
      <c r="B74" t="str">
        <f>VLOOKUP(C74,[1]补充空白与2019的股票代码!A:B,2,0)</f>
        <v>600218.SH</v>
      </c>
      <c r="C74" s="4" t="s">
        <v>140</v>
      </c>
      <c r="D74" s="5">
        <v>42268</v>
      </c>
      <c r="E74" s="5">
        <v>42277</v>
      </c>
      <c r="F74" s="4" t="s">
        <v>141</v>
      </c>
      <c r="G74" s="1">
        <v>45065</v>
      </c>
      <c r="H74" t="s">
        <v>12</v>
      </c>
    </row>
    <row r="75" spans="2:8" x14ac:dyDescent="0.2">
      <c r="B75" t="str">
        <f>VLOOKUP(C75,[1]补充空白与2019的股票代码!A:B,2,0)</f>
        <v>600218.SH</v>
      </c>
      <c r="C75" s="4" t="s">
        <v>140</v>
      </c>
      <c r="D75" s="5">
        <v>42333</v>
      </c>
      <c r="E75" s="5">
        <v>42355</v>
      </c>
      <c r="F75" s="4" t="s">
        <v>142</v>
      </c>
      <c r="G75" s="1">
        <v>45065</v>
      </c>
    </row>
    <row r="76" spans="2:8" x14ac:dyDescent="0.2">
      <c r="B76" t="str">
        <f>VLOOKUP(C76,[1]补充空白与2019的股票代码!A:B,2,0)</f>
        <v>002220.SZ</v>
      </c>
      <c r="C76" s="4" t="s">
        <v>143</v>
      </c>
      <c r="D76" s="5">
        <v>42293</v>
      </c>
      <c r="E76" s="5">
        <v>42310</v>
      </c>
      <c r="F76" s="4" t="s">
        <v>144</v>
      </c>
      <c r="G76" s="1">
        <v>45065</v>
      </c>
    </row>
    <row r="77" spans="2:8" x14ac:dyDescent="0.2">
      <c r="B77" t="str">
        <f>VLOOKUP(C77,[1]补充空白与2019的股票代码!A:B,2,0)</f>
        <v>000683.SZ</v>
      </c>
      <c r="C77" s="4" t="s">
        <v>145</v>
      </c>
      <c r="D77" s="5">
        <v>42601</v>
      </c>
      <c r="E77" s="5">
        <v>42681</v>
      </c>
      <c r="F77" s="4" t="s">
        <v>146</v>
      </c>
      <c r="G77" s="1">
        <v>45065</v>
      </c>
      <c r="H77" t="s">
        <v>12</v>
      </c>
    </row>
    <row r="78" spans="2:8" x14ac:dyDescent="0.2">
      <c r="B78" t="str">
        <f>VLOOKUP(C78,[1]补充空白与2019的股票代码!A:B,2,0)</f>
        <v>000683.SZ</v>
      </c>
      <c r="C78" s="4" t="s">
        <v>145</v>
      </c>
      <c r="D78" s="5">
        <v>42920</v>
      </c>
      <c r="E78" s="5">
        <v>42999</v>
      </c>
      <c r="F78" s="4" t="s">
        <v>147</v>
      </c>
      <c r="G78" s="1">
        <v>45065</v>
      </c>
    </row>
    <row r="79" spans="2:8" x14ac:dyDescent="0.2">
      <c r="B79" t="str">
        <f>VLOOKUP(C79,[1]补充空白与2019的股票代码!A:B,2,0)</f>
        <v>300263.SZ</v>
      </c>
      <c r="C79" s="4" t="s">
        <v>148</v>
      </c>
      <c r="D79" s="5">
        <v>42872</v>
      </c>
      <c r="E79" s="5">
        <v>43003</v>
      </c>
      <c r="F79" s="4" t="s">
        <v>149</v>
      </c>
      <c r="G79" s="1">
        <v>45065</v>
      </c>
    </row>
    <row r="80" spans="2:8" x14ac:dyDescent="0.2">
      <c r="B80" t="str">
        <f>VLOOKUP(C80,[1]补充空白与2019的股票代码!A:B,2,0)</f>
        <v>600251.SH</v>
      </c>
      <c r="C80" s="4" t="s">
        <v>150</v>
      </c>
      <c r="D80" s="5">
        <v>42895</v>
      </c>
      <c r="E80" s="5">
        <v>42934</v>
      </c>
      <c r="F80" s="4" t="s">
        <v>151</v>
      </c>
      <c r="G80" s="1">
        <v>45065</v>
      </c>
    </row>
    <row r="81" spans="1:8" x14ac:dyDescent="0.2">
      <c r="B81" t="str">
        <f>VLOOKUP(C81,[1]补充空白与2019的股票代码!A:B,2,0)</f>
        <v>600300.SH</v>
      </c>
      <c r="C81" s="4" t="s">
        <v>152</v>
      </c>
      <c r="D81" s="5">
        <v>42892</v>
      </c>
      <c r="E81" s="5">
        <v>42902</v>
      </c>
      <c r="F81" s="4" t="s">
        <v>153</v>
      </c>
      <c r="G81" s="1">
        <v>45065</v>
      </c>
      <c r="H81" t="s">
        <v>131</v>
      </c>
    </row>
    <row r="82" spans="1:8" x14ac:dyDescent="0.2">
      <c r="B82" t="str">
        <f>VLOOKUP(C82,[1]补充空白与2019的股票代码!A:B,2,0)</f>
        <v>600300.SH</v>
      </c>
      <c r="C82" s="4" t="s">
        <v>152</v>
      </c>
      <c r="D82" s="5">
        <v>42929</v>
      </c>
      <c r="E82" s="5">
        <v>42943</v>
      </c>
      <c r="F82" s="4" t="s">
        <v>154</v>
      </c>
      <c r="G82" s="1">
        <v>45065</v>
      </c>
    </row>
    <row r="83" spans="1:8" x14ac:dyDescent="0.2">
      <c r="B83" t="str">
        <f>VLOOKUP(C83,[1]补充空白与2019的股票代码!A:B,2,0)</f>
        <v>600300.SH</v>
      </c>
      <c r="C83" s="4" t="s">
        <v>152</v>
      </c>
      <c r="D83" s="5">
        <v>43019</v>
      </c>
      <c r="E83" s="5">
        <v>43032</v>
      </c>
      <c r="F83" t="s">
        <v>155</v>
      </c>
      <c r="G83" s="1">
        <v>45065</v>
      </c>
    </row>
    <row r="84" spans="1:8" x14ac:dyDescent="0.2">
      <c r="A84">
        <v>202333</v>
      </c>
      <c r="B84" t="str">
        <f>VLOOKUP(C84,'[1]全部股票代码（手动检索）'!A:B,2,0)</f>
        <v>600333.SH</v>
      </c>
      <c r="C84" t="s">
        <v>156</v>
      </c>
      <c r="D84" s="5">
        <v>42774</v>
      </c>
      <c r="E84" s="5">
        <v>42782</v>
      </c>
      <c r="F84" t="s">
        <v>157</v>
      </c>
      <c r="G84" s="1">
        <v>45043</v>
      </c>
    </row>
    <row r="85" spans="1:8" x14ac:dyDescent="0.2">
      <c r="A85">
        <v>202327</v>
      </c>
      <c r="B85" t="str">
        <f>VLOOKUP(C85,'[1]全部股票代码（手动检索）'!A:B,2,0)</f>
        <v>300509.SZ</v>
      </c>
      <c r="C85" t="s">
        <v>158</v>
      </c>
      <c r="D85" s="5">
        <v>43369</v>
      </c>
      <c r="E85" s="5">
        <v>43642</v>
      </c>
      <c r="F85" t="s">
        <v>159</v>
      </c>
      <c r="G85" s="1">
        <v>45027</v>
      </c>
    </row>
    <row r="86" spans="1:8" x14ac:dyDescent="0.2">
      <c r="B86" t="str">
        <f>VLOOKUP(C86,'[1]全部股票代码（手动检索）'!A:B,2,0)</f>
        <v>603266.SH</v>
      </c>
      <c r="C86" t="s">
        <v>160</v>
      </c>
      <c r="D86" s="5">
        <v>43509</v>
      </c>
      <c r="E86" s="5">
        <v>43595</v>
      </c>
      <c r="F86" t="s">
        <v>161</v>
      </c>
      <c r="G86" s="1">
        <v>45023</v>
      </c>
    </row>
    <row r="87" spans="1:8" x14ac:dyDescent="0.2">
      <c r="B87" t="str">
        <f>VLOOKUP(C87,'[1]全部股票代码（手动检索）'!A:B,2,0)</f>
        <v>603365.SH</v>
      </c>
      <c r="C87" t="s">
        <v>162</v>
      </c>
      <c r="D87" s="5">
        <v>43451</v>
      </c>
      <c r="E87" s="5">
        <v>43529</v>
      </c>
      <c r="F87" t="s">
        <v>163</v>
      </c>
      <c r="G87" s="1">
        <v>45023</v>
      </c>
    </row>
    <row r="88" spans="1:8" x14ac:dyDescent="0.2">
      <c r="B88" t="str">
        <f>VLOOKUP(C88,'[1]全部股票代码（手动检索）'!A:B,2,0)</f>
        <v>300539.SZ</v>
      </c>
      <c r="C88" t="s">
        <v>164</v>
      </c>
      <c r="D88" s="5">
        <v>43493</v>
      </c>
      <c r="E88" s="5">
        <v>43537</v>
      </c>
      <c r="F88" t="s">
        <v>165</v>
      </c>
      <c r="G88" s="1">
        <v>45023</v>
      </c>
    </row>
    <row r="89" spans="1:8" x14ac:dyDescent="0.2">
      <c r="B89" t="str">
        <f>VLOOKUP(C89,'[1]全部股票代码（手动检索）'!A:B,2,0)</f>
        <v>300658.SZ</v>
      </c>
      <c r="C89" t="s">
        <v>166</v>
      </c>
      <c r="D89" s="5">
        <v>43509</v>
      </c>
      <c r="E89" s="5">
        <v>43595</v>
      </c>
      <c r="G89" s="1">
        <v>45023</v>
      </c>
    </row>
    <row r="90" spans="1:8" x14ac:dyDescent="0.2">
      <c r="A90">
        <v>202317</v>
      </c>
      <c r="B90" t="str">
        <f>VLOOKUP(C90,'[1]全部股票代码（手动检索）'!A:B,2,0)</f>
        <v>603222.SH</v>
      </c>
      <c r="C90" t="s">
        <v>167</v>
      </c>
      <c r="D90" s="5">
        <v>42823</v>
      </c>
      <c r="E90" s="5">
        <v>43136</v>
      </c>
      <c r="F90" t="s">
        <v>168</v>
      </c>
      <c r="G90" s="1">
        <v>44992</v>
      </c>
    </row>
    <row r="91" spans="1:8" x14ac:dyDescent="0.2">
      <c r="A91">
        <v>202305</v>
      </c>
      <c r="B91" t="str">
        <f>VLOOKUP(C91,'[1]全部股票代码（手动检索）'!A:B,2,0)</f>
        <v>002780.SZ</v>
      </c>
      <c r="C91" t="s">
        <v>169</v>
      </c>
      <c r="D91" s="5">
        <v>43405</v>
      </c>
      <c r="E91" s="5">
        <v>44001</v>
      </c>
      <c r="F91" t="s">
        <v>170</v>
      </c>
      <c r="G91" s="1">
        <v>44958</v>
      </c>
    </row>
    <row r="92" spans="1:8" x14ac:dyDescent="0.2">
      <c r="A92">
        <v>202272</v>
      </c>
      <c r="B92" t="str">
        <f>VLOOKUP(C92,'[1]全部股票代码（手动检索）'!A:B,2,0)</f>
        <v>603577.SH</v>
      </c>
      <c r="C92" t="s">
        <v>174</v>
      </c>
      <c r="D92" s="5">
        <v>42800</v>
      </c>
      <c r="E92" s="5">
        <v>42849</v>
      </c>
      <c r="F92" t="s">
        <v>175</v>
      </c>
      <c r="G92" s="1">
        <v>44923</v>
      </c>
    </row>
    <row r="93" spans="1:8" x14ac:dyDescent="0.2">
      <c r="A93">
        <v>202270</v>
      </c>
      <c r="B93" t="str">
        <f>VLOOKUP(C93,'[1]全部股票代码（手动检索）'!A:B,2,0)</f>
        <v>603303.SH</v>
      </c>
      <c r="C93" t="s">
        <v>176</v>
      </c>
      <c r="D93" s="5">
        <v>43242</v>
      </c>
      <c r="E93" s="5">
        <v>43593</v>
      </c>
      <c r="F93" t="s">
        <v>177</v>
      </c>
      <c r="G93" s="1">
        <v>44907</v>
      </c>
    </row>
    <row r="94" spans="1:8" x14ac:dyDescent="0.2">
      <c r="B94" t="str">
        <f>VLOOKUP(C94,'[1]全部股票代码（手动检索）'!A:B,2,0)</f>
        <v>601518.SH</v>
      </c>
      <c r="C94" t="s">
        <v>178</v>
      </c>
      <c r="D94" s="5">
        <v>43864</v>
      </c>
      <c r="E94" s="5">
        <v>44631</v>
      </c>
      <c r="G94" s="1">
        <v>44888</v>
      </c>
      <c r="H94" t="s">
        <v>179</v>
      </c>
    </row>
    <row r="95" spans="1:8" x14ac:dyDescent="0.2">
      <c r="B95" t="str">
        <f>VLOOKUP(C95,'[1]全部股票代码（手动检索）'!A:B,2,0)</f>
        <v>601518.SH</v>
      </c>
      <c r="C95" t="s">
        <v>178</v>
      </c>
      <c r="D95" s="5">
        <v>43979</v>
      </c>
      <c r="E95" s="5">
        <v>43997</v>
      </c>
      <c r="G95" s="1">
        <v>44888</v>
      </c>
    </row>
    <row r="96" spans="1:8" x14ac:dyDescent="0.2">
      <c r="B96" t="str">
        <f>VLOOKUP(C96,'[1]全部股票代码（手动检索）'!A:B,2,0)</f>
        <v>600719.SH</v>
      </c>
      <c r="C96" t="s">
        <v>180</v>
      </c>
      <c r="D96" s="5">
        <v>43917</v>
      </c>
      <c r="E96" s="5">
        <v>43924</v>
      </c>
      <c r="F96" t="s">
        <v>181</v>
      </c>
      <c r="G96" s="1">
        <v>44888</v>
      </c>
    </row>
    <row r="97" spans="1:8" x14ac:dyDescent="0.2">
      <c r="B97" t="str">
        <f>VLOOKUP(C97,'[1]全部股票代码（手动检索）'!A:B,2,0)</f>
        <v>600793.SH</v>
      </c>
      <c r="C97" t="s">
        <v>182</v>
      </c>
      <c r="D97" s="5">
        <v>43948</v>
      </c>
      <c r="E97" s="5">
        <v>43959</v>
      </c>
      <c r="F97" t="s">
        <v>183</v>
      </c>
      <c r="G97" s="1">
        <v>44888</v>
      </c>
    </row>
    <row r="98" spans="1:8" x14ac:dyDescent="0.2">
      <c r="B98" t="str">
        <f>VLOOKUP(C98,'[1]全部股票代码（手动检索）'!A:B,2,0)</f>
        <v>601368.SH</v>
      </c>
      <c r="C98" t="s">
        <v>184</v>
      </c>
      <c r="D98" s="5">
        <v>43958</v>
      </c>
      <c r="E98" s="5">
        <v>43969</v>
      </c>
      <c r="F98" t="s">
        <v>185</v>
      </c>
      <c r="G98" s="1">
        <v>44888</v>
      </c>
    </row>
    <row r="99" spans="1:8" x14ac:dyDescent="0.2">
      <c r="B99" t="str">
        <f>VLOOKUP(C99,'[1]全部股票代码（手动检索）'!A:B,2,0)</f>
        <v>600982.SH</v>
      </c>
      <c r="C99" t="s">
        <v>186</v>
      </c>
      <c r="D99" s="5">
        <v>43964</v>
      </c>
      <c r="E99" s="5">
        <v>43984</v>
      </c>
      <c r="F99" t="s">
        <v>187</v>
      </c>
      <c r="G99" s="1">
        <v>44888</v>
      </c>
    </row>
    <row r="100" spans="1:8" x14ac:dyDescent="0.2">
      <c r="B100" t="str">
        <f>VLOOKUP(C100,'[1]全部股票代码（手动检索）'!A:B,2,0)</f>
        <v>603958.SH</v>
      </c>
      <c r="C100" t="s">
        <v>188</v>
      </c>
      <c r="D100" s="5">
        <v>43983</v>
      </c>
      <c r="E100" s="5">
        <v>43986</v>
      </c>
      <c r="F100" t="s">
        <v>189</v>
      </c>
      <c r="G100" s="1">
        <v>44888</v>
      </c>
    </row>
    <row r="101" spans="1:8" x14ac:dyDescent="0.2">
      <c r="B101" t="str">
        <f>VLOOKUP(C101,'[1]全部股票代码（手动检索）'!A:B,2,0)</f>
        <v>002718.SZ</v>
      </c>
      <c r="C101" t="s">
        <v>190</v>
      </c>
      <c r="D101" s="5">
        <v>43986</v>
      </c>
      <c r="E101" s="5">
        <v>44027</v>
      </c>
      <c r="F101" t="s">
        <v>191</v>
      </c>
      <c r="G101" s="1">
        <v>44888</v>
      </c>
    </row>
    <row r="102" spans="1:8" x14ac:dyDescent="0.2">
      <c r="B102" t="str">
        <f>VLOOKUP(C102,'[1]全部股票代码（手动检索）'!A:B,2,0)</f>
        <v>000985.SZ</v>
      </c>
      <c r="C102" t="s">
        <v>192</v>
      </c>
      <c r="D102" s="5">
        <v>44015</v>
      </c>
      <c r="E102" s="5">
        <v>44141</v>
      </c>
      <c r="F102" t="s">
        <v>193</v>
      </c>
      <c r="G102" s="1">
        <v>44888</v>
      </c>
    </row>
    <row r="103" spans="1:8" x14ac:dyDescent="0.2">
      <c r="A103">
        <v>202261</v>
      </c>
      <c r="B103" t="str">
        <f>VLOOKUP(C103,'[1]全部股票代码（手动检索）'!A:B,2,0)</f>
        <v>002752.SZ</v>
      </c>
      <c r="C103" t="s">
        <v>194</v>
      </c>
      <c r="D103" s="5">
        <v>43809</v>
      </c>
      <c r="E103" s="5">
        <v>43915</v>
      </c>
      <c r="F103" t="s">
        <v>195</v>
      </c>
      <c r="G103" s="1">
        <v>44867</v>
      </c>
    </row>
    <row r="104" spans="1:8" x14ac:dyDescent="0.2">
      <c r="A104">
        <v>202249</v>
      </c>
      <c r="B104" t="str">
        <f>VLOOKUP(C104,'[1]全部股票代码（手动检索）'!A:B,2,0)</f>
        <v>600807.SH</v>
      </c>
      <c r="C104" t="s">
        <v>196</v>
      </c>
      <c r="D104" s="5">
        <v>43320</v>
      </c>
      <c r="E104" s="5">
        <v>43536</v>
      </c>
      <c r="F104" t="s">
        <v>197</v>
      </c>
      <c r="G104" s="1">
        <v>44812</v>
      </c>
    </row>
    <row r="105" spans="1:8" x14ac:dyDescent="0.2">
      <c r="A105">
        <v>202244</v>
      </c>
      <c r="B105" t="str">
        <f>VLOOKUP(C105,'[1]全部股票代码（手动检索）'!A:B,2,0)</f>
        <v>000150.SZ</v>
      </c>
      <c r="C105" t="s">
        <v>198</v>
      </c>
      <c r="D105" s="5">
        <v>42936</v>
      </c>
      <c r="E105" s="5">
        <v>43539</v>
      </c>
      <c r="F105" t="s">
        <v>199</v>
      </c>
      <c r="G105" s="1">
        <v>44795</v>
      </c>
    </row>
    <row r="106" spans="1:8" x14ac:dyDescent="0.2">
      <c r="A106">
        <v>202235</v>
      </c>
      <c r="B106" t="str">
        <f>VLOOKUP(C106,'[1]全部股票代码（手动检索）'!A:B,2,0)</f>
        <v>600841.SH</v>
      </c>
      <c r="C106" t="s">
        <v>200</v>
      </c>
      <c r="D106" s="5">
        <v>42944</v>
      </c>
      <c r="E106" s="5">
        <v>43237</v>
      </c>
      <c r="F106" t="s">
        <v>201</v>
      </c>
      <c r="G106" s="1">
        <v>44754</v>
      </c>
    </row>
    <row r="107" spans="1:8" x14ac:dyDescent="0.2">
      <c r="A107">
        <v>202229</v>
      </c>
      <c r="B107" t="str">
        <f>VLOOKUP(C107,'[1]全部股票代码（手动检索）'!A:B,2,0)</f>
        <v>300260.SZ</v>
      </c>
      <c r="C107" t="s">
        <v>202</v>
      </c>
      <c r="D107" s="5">
        <v>43143</v>
      </c>
      <c r="E107" s="5">
        <v>43353</v>
      </c>
      <c r="F107" t="s">
        <v>203</v>
      </c>
      <c r="G107" s="1">
        <v>44725</v>
      </c>
    </row>
    <row r="108" spans="1:8" x14ac:dyDescent="0.2">
      <c r="A108">
        <v>202220</v>
      </c>
      <c r="B108" t="str">
        <f>VLOOKUP(C108,'[1]全部股票代码（手动检索）'!A:B,2,0)</f>
        <v>603578.SH</v>
      </c>
      <c r="C108" t="s">
        <v>204</v>
      </c>
      <c r="D108" s="5">
        <v>42823</v>
      </c>
      <c r="E108" s="5">
        <v>42874</v>
      </c>
      <c r="F108" t="s">
        <v>205</v>
      </c>
      <c r="G108" s="1">
        <v>44672</v>
      </c>
      <c r="H108" t="s">
        <v>206</v>
      </c>
    </row>
    <row r="109" spans="1:8" x14ac:dyDescent="0.2">
      <c r="B109" t="str">
        <f>VLOOKUP(C109,'[1]全部股票代码（手动检索）'!A:B,2,0)</f>
        <v>603578.SH</v>
      </c>
      <c r="C109" t="s">
        <v>204</v>
      </c>
      <c r="D109" s="5">
        <v>42877</v>
      </c>
      <c r="E109" s="5">
        <v>42951</v>
      </c>
      <c r="F109" t="s">
        <v>207</v>
      </c>
    </row>
    <row r="110" spans="1:8" x14ac:dyDescent="0.2">
      <c r="B110" t="str">
        <f>VLOOKUP(C110,'[1]全部股票代码（手动检索）'!A:B,2,0)</f>
        <v>603578.SH</v>
      </c>
      <c r="C110" t="s">
        <v>204</v>
      </c>
      <c r="D110" s="5">
        <v>42954</v>
      </c>
      <c r="E110" s="5">
        <v>43027</v>
      </c>
      <c r="F110" t="s">
        <v>208</v>
      </c>
    </row>
    <row r="111" spans="1:8" x14ac:dyDescent="0.2">
      <c r="B111" t="str">
        <f>VLOOKUP(C111,'[1]全部股票代码（手动检索）'!A:B,2,0)</f>
        <v>603578.SH</v>
      </c>
      <c r="C111" t="s">
        <v>204</v>
      </c>
      <c r="D111" s="5">
        <v>43028</v>
      </c>
      <c r="E111" s="5">
        <v>43038</v>
      </c>
      <c r="F111" t="s">
        <v>209</v>
      </c>
    </row>
    <row r="112" spans="1:8" x14ac:dyDescent="0.2">
      <c r="A112">
        <v>202213</v>
      </c>
      <c r="B112" t="str">
        <f>VLOOKUP(C112,'[1]全部股票代码（手动检索）'!A:B,2,0)</f>
        <v>605198.SH</v>
      </c>
      <c r="C112" t="s">
        <v>210</v>
      </c>
      <c r="D112" s="5">
        <v>43306</v>
      </c>
      <c r="E112" s="5">
        <v>43403</v>
      </c>
      <c r="F112" t="s">
        <v>211</v>
      </c>
      <c r="G112" s="1">
        <v>44642</v>
      </c>
    </row>
    <row r="113" spans="1:8" x14ac:dyDescent="0.2">
      <c r="A113">
        <v>202208</v>
      </c>
      <c r="B113" t="str">
        <f>VLOOKUP(C113,'[1]全部股票代码（手动检索）'!A:B,2,0)</f>
        <v>603617.SH</v>
      </c>
      <c r="C113" t="s">
        <v>212</v>
      </c>
      <c r="D113" s="5">
        <v>43542</v>
      </c>
      <c r="E113" s="5">
        <v>43699</v>
      </c>
      <c r="F113" t="s">
        <v>213</v>
      </c>
      <c r="G113" s="1">
        <v>44620</v>
      </c>
    </row>
    <row r="114" spans="1:8" x14ac:dyDescent="0.2">
      <c r="A114">
        <v>202207</v>
      </c>
      <c r="B114" t="str">
        <f>VLOOKUP(C114,'[1]全部股票代码（手动检索）'!A:B,2,0)</f>
        <v>600833.SH</v>
      </c>
      <c r="C114" t="s">
        <v>214</v>
      </c>
      <c r="D114" s="5">
        <v>43448</v>
      </c>
      <c r="E114" s="5">
        <v>43507</v>
      </c>
      <c r="F114" t="s">
        <v>215</v>
      </c>
      <c r="G114" s="1">
        <v>44620</v>
      </c>
    </row>
    <row r="115" spans="1:8" x14ac:dyDescent="0.2">
      <c r="A115">
        <v>2021127</v>
      </c>
      <c r="B115" t="str">
        <f>VLOOKUP(C115,'[1]全部股票代码（手动检索）'!A:B,2,0)</f>
        <v>603321.SH</v>
      </c>
      <c r="C115" t="s">
        <v>216</v>
      </c>
      <c r="D115" s="5">
        <v>43489</v>
      </c>
      <c r="E115" s="5">
        <v>43509</v>
      </c>
      <c r="F115" t="s">
        <v>217</v>
      </c>
      <c r="G115" s="1">
        <v>44544</v>
      </c>
    </row>
    <row r="116" spans="1:8" x14ac:dyDescent="0.2">
      <c r="A116">
        <v>2021126</v>
      </c>
      <c r="B116" t="str">
        <f>VLOOKUP(C116,'[1]全部股票代码（手动检索）'!A:B,2,0)</f>
        <v>603139.SH</v>
      </c>
      <c r="C116" t="s">
        <v>218</v>
      </c>
      <c r="D116" s="5">
        <v>42929</v>
      </c>
      <c r="E116" s="5">
        <v>42978</v>
      </c>
      <c r="F116" t="s">
        <v>219</v>
      </c>
      <c r="G116" s="1">
        <v>44543</v>
      </c>
    </row>
    <row r="117" spans="1:8" x14ac:dyDescent="0.2">
      <c r="B117" t="str">
        <f>VLOOKUP(C117,'[1]全部股票代码（手动检索）'!A:B,2,0)</f>
        <v>603389.SH</v>
      </c>
      <c r="C117" t="s">
        <v>220</v>
      </c>
      <c r="D117" s="5">
        <v>43217</v>
      </c>
      <c r="E117" s="5">
        <v>43371</v>
      </c>
      <c r="F117" t="s">
        <v>221</v>
      </c>
      <c r="G117" s="1">
        <v>44543</v>
      </c>
      <c r="H117" t="s">
        <v>45</v>
      </c>
    </row>
    <row r="118" spans="1:8" x14ac:dyDescent="0.2">
      <c r="B118" t="str">
        <f>VLOOKUP(C118,'[1]全部股票代码（手动检索）'!A:B,2,0)</f>
        <v>603238.SH</v>
      </c>
      <c r="C118" t="s">
        <v>222</v>
      </c>
      <c r="D118" s="5">
        <v>43455</v>
      </c>
      <c r="E118" s="5">
        <v>43508</v>
      </c>
      <c r="F118" t="s">
        <v>223</v>
      </c>
      <c r="G118" s="1">
        <v>44543</v>
      </c>
    </row>
    <row r="119" spans="1:8" x14ac:dyDescent="0.2">
      <c r="B119" t="str">
        <f>VLOOKUP(C119,'[1]全部股票代码（手动检索）'!A:B,2,0)</f>
        <v>603178.SH</v>
      </c>
      <c r="C119" t="s">
        <v>172</v>
      </c>
      <c r="D119" s="5">
        <v>43514</v>
      </c>
      <c r="E119" s="5">
        <v>43545</v>
      </c>
      <c r="F119" t="s">
        <v>224</v>
      </c>
      <c r="G119" s="1">
        <v>44543</v>
      </c>
    </row>
    <row r="120" spans="1:8" x14ac:dyDescent="0.2">
      <c r="A120">
        <v>2021125</v>
      </c>
      <c r="B120" t="str">
        <f>VLOOKUP(C120,'[1]全部股票代码（手动检索）'!A:B,2,0)</f>
        <v>002548.SZ</v>
      </c>
      <c r="C120" t="s">
        <v>225</v>
      </c>
      <c r="D120" s="5">
        <v>43332</v>
      </c>
      <c r="E120" s="5">
        <v>43518</v>
      </c>
      <c r="F120" t="s">
        <v>226</v>
      </c>
      <c r="G120" s="1">
        <v>44543</v>
      </c>
    </row>
    <row r="121" spans="1:8" x14ac:dyDescent="0.2">
      <c r="B121" t="str">
        <f>VLOOKUP(C121,'[1]全部股票代码（手动检索）'!A:B,2,0)</f>
        <v>300587.SZ</v>
      </c>
      <c r="C121" t="s">
        <v>227</v>
      </c>
      <c r="D121" s="5">
        <v>43453</v>
      </c>
      <c r="E121" s="5">
        <v>43525</v>
      </c>
      <c r="F121" t="s">
        <v>228</v>
      </c>
      <c r="G121" s="1">
        <v>44532</v>
      </c>
    </row>
    <row r="122" spans="1:8" x14ac:dyDescent="0.2">
      <c r="B122" t="str">
        <f>VLOOKUP(C122,'[1]全部股票代码（手动检索）'!A:B,2,0)</f>
        <v>603822.SH</v>
      </c>
      <c r="C122" t="s">
        <v>229</v>
      </c>
      <c r="D122" s="5">
        <v>43479</v>
      </c>
      <c r="E122" s="5">
        <v>43511</v>
      </c>
      <c r="F122" t="s">
        <v>230</v>
      </c>
      <c r="G122" s="1">
        <v>44532</v>
      </c>
    </row>
    <row r="123" spans="1:8" x14ac:dyDescent="0.2">
      <c r="B123" t="str">
        <f>VLOOKUP(C123,'[1]全部股票代码（手动检索）'!A:B,2,0)</f>
        <v>300378.SZ</v>
      </c>
      <c r="C123" t="s">
        <v>231</v>
      </c>
      <c r="D123" s="5">
        <v>43538</v>
      </c>
      <c r="E123" s="5">
        <v>43570</v>
      </c>
      <c r="F123" t="s">
        <v>232</v>
      </c>
      <c r="G123" s="1">
        <v>44532</v>
      </c>
    </row>
    <row r="124" spans="1:8" x14ac:dyDescent="0.2">
      <c r="B124" t="str">
        <f>VLOOKUP(C124,'[1]全部股票代码（手动检索）'!A:B,2,0)</f>
        <v>300119.SZ</v>
      </c>
      <c r="C124" t="s">
        <v>233</v>
      </c>
      <c r="D124" s="5">
        <v>43556</v>
      </c>
      <c r="E124" s="5">
        <v>43607</v>
      </c>
      <c r="F124" t="s">
        <v>234</v>
      </c>
      <c r="G124" s="1">
        <v>44532</v>
      </c>
    </row>
    <row r="125" spans="1:8" x14ac:dyDescent="0.2">
      <c r="A125">
        <v>202178</v>
      </c>
      <c r="B125" t="str">
        <f>VLOOKUP(C125,'[1]全部股票代码（手动检索）'!A:B,2,0)</f>
        <v>002647.SZ</v>
      </c>
      <c r="C125" t="s">
        <v>235</v>
      </c>
      <c r="D125" s="5">
        <v>43619</v>
      </c>
      <c r="E125" s="5">
        <v>44194</v>
      </c>
      <c r="F125" t="s">
        <v>236</v>
      </c>
      <c r="G125" s="1">
        <v>44457</v>
      </c>
    </row>
    <row r="126" spans="1:8" x14ac:dyDescent="0.2">
      <c r="A126">
        <v>202176</v>
      </c>
      <c r="B126" t="str">
        <f>VLOOKUP(C126,'[1]全部股票代码（手动检索）'!A:B,2,0)</f>
        <v>300313.SZ</v>
      </c>
      <c r="C126" t="s">
        <v>237</v>
      </c>
      <c r="D126" s="5">
        <v>44062</v>
      </c>
      <c r="E126" s="5">
        <v>44067</v>
      </c>
      <c r="F126" t="s">
        <v>238</v>
      </c>
      <c r="G126" s="1">
        <v>44454</v>
      </c>
    </row>
    <row r="127" spans="1:8" x14ac:dyDescent="0.2">
      <c r="A127">
        <v>202175</v>
      </c>
      <c r="B127" t="str">
        <f>VLOOKUP(C127,'[1]全部股票代码（手动检索）'!A:B,2,0)</f>
        <v>603823.SH</v>
      </c>
      <c r="C127" t="s">
        <v>239</v>
      </c>
      <c r="D127" s="5">
        <v>43314</v>
      </c>
      <c r="E127" s="5">
        <v>43581</v>
      </c>
      <c r="F127" t="s">
        <v>240</v>
      </c>
      <c r="G127" s="1">
        <v>44453</v>
      </c>
    </row>
    <row r="128" spans="1:8" x14ac:dyDescent="0.2">
      <c r="A128">
        <v>202159</v>
      </c>
      <c r="B128" t="str">
        <f>VLOOKUP(C128,'[1]全部股票代码（手动检索）'!A:B,2,0)</f>
        <v>002679.SZ</v>
      </c>
      <c r="C128" t="s">
        <v>241</v>
      </c>
      <c r="D128" s="5">
        <v>43313</v>
      </c>
      <c r="E128" s="5">
        <v>43629</v>
      </c>
      <c r="F128" t="s">
        <v>242</v>
      </c>
      <c r="G128" s="1">
        <v>44427</v>
      </c>
    </row>
    <row r="129" spans="1:8" x14ac:dyDescent="0.2">
      <c r="A129">
        <v>202151</v>
      </c>
      <c r="B129" t="str">
        <f>VLOOKUP(C129,'[1]全部股票代码（手动检索）'!A:B,2,0)</f>
        <v>601113.SH</v>
      </c>
      <c r="C129" t="s">
        <v>243</v>
      </c>
      <c r="D129" s="5">
        <v>42944</v>
      </c>
      <c r="E129" s="5">
        <v>43271</v>
      </c>
      <c r="F129" t="s">
        <v>244</v>
      </c>
      <c r="G129" s="1">
        <v>44395</v>
      </c>
    </row>
    <row r="130" spans="1:8" x14ac:dyDescent="0.2">
      <c r="A130">
        <v>202149</v>
      </c>
      <c r="B130" t="str">
        <f>VLOOKUP(C130,'[1]全部股票代码（手动检索）'!A:B,2,0)</f>
        <v>600587.SH</v>
      </c>
      <c r="C130" t="s">
        <v>245</v>
      </c>
      <c r="D130" s="5">
        <v>43186</v>
      </c>
      <c r="E130" s="5">
        <v>43199</v>
      </c>
      <c r="F130" t="s">
        <v>246</v>
      </c>
      <c r="G130" s="1">
        <v>44379</v>
      </c>
    </row>
    <row r="131" spans="1:8" x14ac:dyDescent="0.2">
      <c r="A131">
        <v>202138</v>
      </c>
      <c r="B131" t="str">
        <f>VLOOKUP(C131,'[1]全部股票代码（手动检索）'!A:B,2,0)</f>
        <v>002890.SZ</v>
      </c>
      <c r="C131" t="s">
        <v>247</v>
      </c>
      <c r="D131" s="5">
        <v>43189</v>
      </c>
      <c r="E131" s="5">
        <v>43242</v>
      </c>
      <c r="F131" t="s">
        <v>248</v>
      </c>
      <c r="G131" s="1">
        <v>44355</v>
      </c>
    </row>
    <row r="132" spans="1:8" x14ac:dyDescent="0.2">
      <c r="A132">
        <v>202128</v>
      </c>
      <c r="B132" t="str">
        <f>VLOOKUP(C132,'[1]全部股票代码（手动检索）'!A:B,2,0)</f>
        <v>600242.SH</v>
      </c>
      <c r="C132" t="s">
        <v>249</v>
      </c>
      <c r="D132" s="5">
        <v>43140</v>
      </c>
      <c r="E132" s="5">
        <v>43481</v>
      </c>
      <c r="F132" t="s">
        <v>250</v>
      </c>
      <c r="G132" s="1">
        <v>44330</v>
      </c>
    </row>
    <row r="133" spans="1:8" x14ac:dyDescent="0.2">
      <c r="A133">
        <v>202127</v>
      </c>
      <c r="B133" t="str">
        <f>VLOOKUP(C133,'[1]全部股票代码（手动检索）'!A:B,2,0)</f>
        <v>300110.SZ</v>
      </c>
      <c r="C133" t="s">
        <v>251</v>
      </c>
      <c r="D133" s="5">
        <v>42844</v>
      </c>
      <c r="E133" s="5">
        <v>43158</v>
      </c>
      <c r="F133" t="s">
        <v>252</v>
      </c>
      <c r="G133" s="1">
        <v>44322</v>
      </c>
    </row>
    <row r="134" spans="1:8" x14ac:dyDescent="0.2">
      <c r="A134">
        <v>202101</v>
      </c>
      <c r="B134" t="str">
        <f>VLOOKUP(C134,'[1]全部股票代码（手动检索）'!A:B,2,0)</f>
        <v>300074.SZ</v>
      </c>
      <c r="C134" t="s">
        <v>253</v>
      </c>
      <c r="D134" s="5">
        <v>42940</v>
      </c>
      <c r="E134" s="5">
        <v>43277</v>
      </c>
      <c r="F134" t="s">
        <v>254</v>
      </c>
      <c r="G134" s="1">
        <v>44200</v>
      </c>
    </row>
    <row r="135" spans="1:8" x14ac:dyDescent="0.2">
      <c r="B135" t="str">
        <f>VLOOKUP(C135,[1]补充空白与2019的股票代码!A:B,2,0)</f>
        <v>600083.SH</v>
      </c>
      <c r="C135" t="s">
        <v>255</v>
      </c>
      <c r="D135" s="5">
        <v>42508</v>
      </c>
      <c r="E135" s="6">
        <v>42509</v>
      </c>
      <c r="F135" s="4" t="s">
        <v>256</v>
      </c>
      <c r="G135" s="1">
        <v>44193</v>
      </c>
      <c r="H135" t="s">
        <v>131</v>
      </c>
    </row>
    <row r="136" spans="1:8" x14ac:dyDescent="0.2">
      <c r="B136" t="str">
        <f>VLOOKUP(C136,[1]补充空白与2019的股票代码!A:B,2,0)</f>
        <v>600083.SH</v>
      </c>
      <c r="C136" t="s">
        <v>255</v>
      </c>
      <c r="D136" s="5">
        <v>42520</v>
      </c>
      <c r="E136" s="6">
        <v>42522</v>
      </c>
      <c r="F136" s="4" t="s">
        <v>257</v>
      </c>
      <c r="G136" s="1">
        <v>44193</v>
      </c>
    </row>
    <row r="137" spans="1:8" x14ac:dyDescent="0.2">
      <c r="B137" t="str">
        <f>VLOOKUP(C137,[1]补充空白与2019的股票代码!A:B,2,0)</f>
        <v>600083.SH</v>
      </c>
      <c r="C137" t="s">
        <v>255</v>
      </c>
      <c r="D137" s="5">
        <v>42535</v>
      </c>
      <c r="E137" s="6">
        <v>42549</v>
      </c>
      <c r="F137" s="4" t="s">
        <v>258</v>
      </c>
      <c r="G137" s="1">
        <v>44193</v>
      </c>
    </row>
    <row r="138" spans="1:8" x14ac:dyDescent="0.2">
      <c r="B138" t="str">
        <f>VLOOKUP(C138,[1]补充空白与2019的股票代码!A:B,2,0)</f>
        <v>600213.SH</v>
      </c>
      <c r="C138" s="4" t="s">
        <v>259</v>
      </c>
      <c r="D138" s="5">
        <v>42502</v>
      </c>
      <c r="E138" s="6">
        <v>42515</v>
      </c>
      <c r="F138" s="4" t="s">
        <v>260</v>
      </c>
      <c r="G138" s="1">
        <v>44193</v>
      </c>
    </row>
    <row r="139" spans="1:8" x14ac:dyDescent="0.2">
      <c r="B139" t="str">
        <f>VLOOKUP(C139,[1]补充空白与2019的股票代码!A:B,2,0)</f>
        <v>600853.SH</v>
      </c>
      <c r="C139" t="s">
        <v>104</v>
      </c>
      <c r="D139" s="5">
        <v>42506</v>
      </c>
      <c r="E139" s="6">
        <v>42507</v>
      </c>
      <c r="F139" s="4" t="s">
        <v>261</v>
      </c>
      <c r="G139" s="1">
        <v>44193</v>
      </c>
    </row>
    <row r="140" spans="1:8" x14ac:dyDescent="0.2">
      <c r="B140" t="str">
        <f>VLOOKUP(C140,[1]补充空白与2019的股票代码!A:B,2,0)</f>
        <v>603028.SH</v>
      </c>
      <c r="C140" s="4" t="s">
        <v>262</v>
      </c>
      <c r="D140" s="5">
        <v>42544</v>
      </c>
      <c r="E140" s="6">
        <v>42549</v>
      </c>
      <c r="F140" s="4" t="s">
        <v>263</v>
      </c>
      <c r="G140" s="1">
        <v>44193</v>
      </c>
    </row>
    <row r="141" spans="1:8" x14ac:dyDescent="0.2">
      <c r="B141" t="str">
        <f>VLOOKUP(C141,[1]补充空白与2019的股票代码!A:B,2,0)</f>
        <v>603618.SH</v>
      </c>
      <c r="C141" s="4" t="s">
        <v>264</v>
      </c>
      <c r="D141" s="5">
        <v>42424</v>
      </c>
      <c r="E141" s="6">
        <v>42430</v>
      </c>
      <c r="F141" s="4" t="s">
        <v>265</v>
      </c>
      <c r="G141" s="1">
        <v>44193</v>
      </c>
    </row>
    <row r="142" spans="1:8" x14ac:dyDescent="0.2">
      <c r="B142" t="str">
        <f>VLOOKUP(C142,[1]补充空白与2019的股票代码!A:B,2,0)</f>
        <v>000702.SZ</v>
      </c>
      <c r="C142" s="4" t="s">
        <v>60</v>
      </c>
      <c r="D142" s="5">
        <v>42516</v>
      </c>
      <c r="E142" s="6">
        <v>42521</v>
      </c>
      <c r="F142" s="4" t="s">
        <v>266</v>
      </c>
      <c r="G142" s="1">
        <v>44193</v>
      </c>
    </row>
    <row r="143" spans="1:8" x14ac:dyDescent="0.2">
      <c r="B143" t="str">
        <f>VLOOKUP(C143,[1]补充空白与2019的股票代码!A:B,2,0)</f>
        <v>002026.SZ</v>
      </c>
      <c r="C143" s="4" t="s">
        <v>267</v>
      </c>
      <c r="D143" s="5">
        <v>42618</v>
      </c>
      <c r="E143" s="6">
        <v>42625</v>
      </c>
      <c r="F143" s="4" t="s">
        <v>268</v>
      </c>
      <c r="G143" s="1">
        <v>44193</v>
      </c>
    </row>
    <row r="144" spans="1:8" x14ac:dyDescent="0.2">
      <c r="B144" t="str">
        <f>VLOOKUP(C144,[1]补充空白与2019的股票代码!A:B,2,0)</f>
        <v>002634.SZ</v>
      </c>
      <c r="C144" s="4" t="s">
        <v>269</v>
      </c>
      <c r="D144" s="5">
        <v>42389</v>
      </c>
      <c r="E144" s="6">
        <v>42396</v>
      </c>
      <c r="F144" s="4" t="s">
        <v>270</v>
      </c>
      <c r="G144" s="1">
        <v>44193</v>
      </c>
      <c r="H144" t="s">
        <v>12</v>
      </c>
    </row>
    <row r="145" spans="1:7" x14ac:dyDescent="0.2">
      <c r="B145" t="str">
        <f>VLOOKUP(C145,[1]补充空白与2019的股票代码!A:B,2,0)</f>
        <v>002634.SZ</v>
      </c>
      <c r="C145" s="4" t="s">
        <v>269</v>
      </c>
      <c r="D145" s="5">
        <v>42564</v>
      </c>
      <c r="E145" s="6">
        <v>42569</v>
      </c>
      <c r="F145" s="4" t="s">
        <v>271</v>
      </c>
      <c r="G145" s="1">
        <v>44193</v>
      </c>
    </row>
    <row r="146" spans="1:7" x14ac:dyDescent="0.2">
      <c r="B146" t="str">
        <f>VLOOKUP(C146,[1]补充空白与2019的股票代码!A:B,2,0)</f>
        <v>002698.SZ</v>
      </c>
      <c r="C146" s="4" t="s">
        <v>272</v>
      </c>
      <c r="D146" s="5">
        <v>42396</v>
      </c>
      <c r="E146" s="6">
        <v>42397</v>
      </c>
      <c r="F146" s="4" t="s">
        <v>273</v>
      </c>
      <c r="G146" s="1">
        <v>44193</v>
      </c>
    </row>
    <row r="147" spans="1:7" x14ac:dyDescent="0.2">
      <c r="B147" t="str">
        <f>VLOOKUP(C147,[1]补充空白与2019的股票代码!A:B,2,0)</f>
        <v>300069.SZ</v>
      </c>
      <c r="C147" s="4" t="s">
        <v>274</v>
      </c>
      <c r="D147" s="5">
        <v>42416</v>
      </c>
      <c r="E147" s="6">
        <v>42417</v>
      </c>
      <c r="F147" s="4" t="s">
        <v>275</v>
      </c>
      <c r="G147" s="1">
        <v>44193</v>
      </c>
    </row>
    <row r="148" spans="1:7" x14ac:dyDescent="0.2">
      <c r="A148">
        <v>2020103</v>
      </c>
      <c r="B148" t="str">
        <f>VLOOKUP(C148,'[1]全部股票代码（手动检索）'!A:B,2,0)</f>
        <v>002054.SZ</v>
      </c>
      <c r="C148" t="s">
        <v>276</v>
      </c>
      <c r="D148" s="5">
        <v>42794</v>
      </c>
      <c r="E148" s="5">
        <v>43153</v>
      </c>
      <c r="F148" t="s">
        <v>277</v>
      </c>
      <c r="G148" s="1">
        <v>44161</v>
      </c>
    </row>
    <row r="149" spans="1:7" x14ac:dyDescent="0.2">
      <c r="A149">
        <v>202093</v>
      </c>
      <c r="B149" t="str">
        <f>VLOOKUP(C149,'[1]全部股票代码（手动检索）'!A:B,2,0)</f>
        <v>600873.SH</v>
      </c>
      <c r="C149" t="s">
        <v>278</v>
      </c>
      <c r="D149" s="5">
        <v>42193</v>
      </c>
      <c r="E149" s="5">
        <v>42228</v>
      </c>
      <c r="F149" t="s">
        <v>279</v>
      </c>
      <c r="G149" s="1">
        <v>44137</v>
      </c>
    </row>
    <row r="150" spans="1:7" x14ac:dyDescent="0.2">
      <c r="A150">
        <v>202092</v>
      </c>
      <c r="B150" t="str">
        <f>VLOOKUP(C150,'[1]全部股票代码（手动检索）'!A:B,2,0)</f>
        <v>300475.SZ</v>
      </c>
      <c r="C150" t="s">
        <v>280</v>
      </c>
      <c r="D150" s="5">
        <v>42801</v>
      </c>
      <c r="E150" s="5">
        <v>42850</v>
      </c>
      <c r="F150" t="s">
        <v>281</v>
      </c>
      <c r="G150" s="1">
        <v>44133</v>
      </c>
    </row>
    <row r="151" spans="1:7" x14ac:dyDescent="0.2">
      <c r="A151">
        <v>202081</v>
      </c>
      <c r="B151" t="str">
        <f>VLOOKUP(C151,'[1]全部股票代码（手动检索）'!A:B,2,0)</f>
        <v>400154.NQ</v>
      </c>
      <c r="C151" t="s">
        <v>282</v>
      </c>
      <c r="D151" s="5">
        <v>42590</v>
      </c>
      <c r="E151" s="5">
        <v>43363</v>
      </c>
      <c r="F151" t="s">
        <v>283</v>
      </c>
      <c r="G151" s="1">
        <v>44117</v>
      </c>
    </row>
    <row r="152" spans="1:7" x14ac:dyDescent="0.2">
      <c r="A152">
        <v>202069</v>
      </c>
      <c r="B152" t="str">
        <f>VLOOKUP(C152,'[1]全部股票代码（手动检索）'!A:B,2,0)</f>
        <v>603843.SH</v>
      </c>
      <c r="C152" t="s">
        <v>284</v>
      </c>
      <c r="D152" s="5">
        <v>43003</v>
      </c>
      <c r="E152" s="5">
        <v>43137</v>
      </c>
      <c r="F152" t="s">
        <v>285</v>
      </c>
      <c r="G152" s="1">
        <v>44089</v>
      </c>
    </row>
    <row r="153" spans="1:7" x14ac:dyDescent="0.2">
      <c r="A153">
        <v>202061</v>
      </c>
      <c r="B153" t="str">
        <f>VLOOKUP(C153,'[1]全部股票代码（手动检索）'!A:B,2,0)</f>
        <v>832568.NQ</v>
      </c>
      <c r="C153" t="s">
        <v>286</v>
      </c>
      <c r="D153" s="5">
        <v>42181</v>
      </c>
      <c r="E153" s="5">
        <v>42277</v>
      </c>
      <c r="F153" t="s">
        <v>287</v>
      </c>
      <c r="G153" s="1">
        <v>44081</v>
      </c>
    </row>
    <row r="154" spans="1:7" x14ac:dyDescent="0.2">
      <c r="A154">
        <v>202052</v>
      </c>
      <c r="B154" t="str">
        <f>VLOOKUP(C154,'[1]全部股票代码（手动检索）'!A:B,2,0)</f>
        <v>002072.SZ</v>
      </c>
      <c r="C154" t="s">
        <v>66</v>
      </c>
      <c r="D154" s="5">
        <v>41856</v>
      </c>
      <c r="E154" s="5">
        <v>42180</v>
      </c>
      <c r="F154" t="s">
        <v>288</v>
      </c>
      <c r="G154" s="1">
        <v>44064</v>
      </c>
    </row>
    <row r="155" spans="1:7" x14ac:dyDescent="0.2">
      <c r="A155">
        <v>202025</v>
      </c>
      <c r="B155" t="str">
        <f>VLOOKUP(C155,'[1]全部股票代码（手动检索）'!A:B,2,0)</f>
        <v>600393.SH</v>
      </c>
      <c r="C155" t="s">
        <v>289</v>
      </c>
      <c r="D155" s="5">
        <v>42748</v>
      </c>
      <c r="E155" s="5">
        <v>42751</v>
      </c>
      <c r="F155" t="s">
        <v>290</v>
      </c>
      <c r="G155" s="1">
        <v>43973</v>
      </c>
    </row>
    <row r="156" spans="1:7" x14ac:dyDescent="0.2">
      <c r="A156">
        <v>2019149</v>
      </c>
      <c r="B156" t="str">
        <f>VLOOKUP(C156,[1]补充空白与2019的股票代码!A:B,2,0)</f>
        <v>831963.NQ</v>
      </c>
      <c r="C156" s="4" t="s">
        <v>291</v>
      </c>
      <c r="D156" s="5">
        <v>42118</v>
      </c>
      <c r="E156" s="5">
        <v>42727</v>
      </c>
      <c r="F156" t="s">
        <v>292</v>
      </c>
      <c r="G156" s="5">
        <v>43811</v>
      </c>
    </row>
    <row r="157" spans="1:7" x14ac:dyDescent="0.2">
      <c r="A157">
        <v>2019140</v>
      </c>
      <c r="B157" t="str">
        <f>VLOOKUP(C157,[1]补充空白与2019的股票代码!A:B,2,0)</f>
        <v>002278.SZ</v>
      </c>
      <c r="C157" s="4" t="s">
        <v>293</v>
      </c>
      <c r="D157" s="5">
        <v>42657</v>
      </c>
      <c r="E157" s="5">
        <v>42844</v>
      </c>
      <c r="F157" t="s">
        <v>294</v>
      </c>
      <c r="G157" s="5">
        <v>43801</v>
      </c>
    </row>
    <row r="158" spans="1:7" x14ac:dyDescent="0.2">
      <c r="A158">
        <v>2019128</v>
      </c>
      <c r="B158" t="str">
        <f>VLOOKUP(C158,[1]补充空白与2019的股票代码!A:B,2,0)</f>
        <v>300069.SZ</v>
      </c>
      <c r="C158" s="4" t="s">
        <v>274</v>
      </c>
      <c r="D158" s="5">
        <v>42285</v>
      </c>
      <c r="E158" s="5">
        <v>43217</v>
      </c>
      <c r="F158" s="4" t="s">
        <v>295</v>
      </c>
      <c r="G158" s="5">
        <v>43787</v>
      </c>
    </row>
    <row r="159" spans="1:7" x14ac:dyDescent="0.2">
      <c r="B159" t="str">
        <f>VLOOKUP(C159,[1]补充空白与2019的股票代码!A:B,2,0)</f>
        <v>600526.SH</v>
      </c>
      <c r="C159" t="s">
        <v>296</v>
      </c>
      <c r="D159" s="5">
        <v>42355</v>
      </c>
      <c r="E159" s="5">
        <v>42360</v>
      </c>
      <c r="F159" s="4" t="s">
        <v>297</v>
      </c>
      <c r="G159" s="5">
        <v>43783</v>
      </c>
    </row>
    <row r="160" spans="1:7" x14ac:dyDescent="0.2">
      <c r="B160" t="str">
        <f>VLOOKUP(C160,[1]补充空白与2019的股票代码!A:B,2,0)</f>
        <v>600526.SH</v>
      </c>
      <c r="C160" t="s">
        <v>296</v>
      </c>
      <c r="D160" s="5">
        <v>42487</v>
      </c>
      <c r="E160" s="5">
        <v>42488</v>
      </c>
      <c r="F160" s="4" t="s">
        <v>298</v>
      </c>
      <c r="G160" s="5">
        <v>43783</v>
      </c>
    </row>
    <row r="161" spans="1:8" x14ac:dyDescent="0.2">
      <c r="B161" t="str">
        <f>VLOOKUP(C161,[1]补充空白与2019的股票代码!A:B,2,0)</f>
        <v>600526.SH</v>
      </c>
      <c r="C161" t="s">
        <v>296</v>
      </c>
      <c r="D161" s="5">
        <v>42527</v>
      </c>
      <c r="E161" s="5">
        <v>42536</v>
      </c>
      <c r="F161" s="4" t="s">
        <v>299</v>
      </c>
      <c r="G161" s="5">
        <v>43783</v>
      </c>
    </row>
    <row r="162" spans="1:8" x14ac:dyDescent="0.2">
      <c r="B162" t="str">
        <f>VLOOKUP(C162,[1]补充空白与2019的股票代码!A:B,2,0)</f>
        <v>600526.SH</v>
      </c>
      <c r="C162" t="s">
        <v>296</v>
      </c>
      <c r="D162" s="5">
        <v>42548</v>
      </c>
      <c r="E162" s="5">
        <v>42549</v>
      </c>
      <c r="F162" s="4" t="s">
        <v>300</v>
      </c>
      <c r="G162" s="5">
        <v>43783</v>
      </c>
    </row>
    <row r="163" spans="1:8" x14ac:dyDescent="0.2">
      <c r="B163" t="str">
        <f>VLOOKUP(C163,[1]补充空白与2019的股票代码!A:B,2,0)</f>
        <v>600526.SH</v>
      </c>
      <c r="C163" t="s">
        <v>296</v>
      </c>
      <c r="D163" s="5">
        <v>42562</v>
      </c>
      <c r="E163" s="5">
        <v>42563</v>
      </c>
      <c r="F163" s="4" t="s">
        <v>301</v>
      </c>
      <c r="G163" s="5">
        <v>43783</v>
      </c>
    </row>
    <row r="164" spans="1:8" x14ac:dyDescent="0.2">
      <c r="B164" t="str">
        <f>VLOOKUP(C164,[1]补充空白与2019的股票代码!A:B,2,0)</f>
        <v>600526.SH</v>
      </c>
      <c r="C164" t="s">
        <v>296</v>
      </c>
      <c r="D164" s="5">
        <v>42565</v>
      </c>
      <c r="E164" s="5">
        <v>42570</v>
      </c>
      <c r="F164" s="4"/>
      <c r="G164" s="5">
        <v>43783</v>
      </c>
    </row>
    <row r="165" spans="1:8" x14ac:dyDescent="0.2">
      <c r="B165" t="str">
        <f>VLOOKUP(C165,[1]补充空白与2019的股票代码!A:B,2,0)</f>
        <v>600081.SH</v>
      </c>
      <c r="C165" s="4" t="s">
        <v>302</v>
      </c>
      <c r="D165" s="5">
        <v>42523</v>
      </c>
      <c r="E165" s="5">
        <v>42524</v>
      </c>
      <c r="F165" s="4" t="s">
        <v>303</v>
      </c>
      <c r="G165" s="5">
        <v>43783</v>
      </c>
    </row>
    <row r="166" spans="1:8" x14ac:dyDescent="0.2">
      <c r="B166" t="str">
        <f>VLOOKUP(C166,[1]补充空白与2019的股票代码!A:B,2,0)</f>
        <v>600081.SH</v>
      </c>
      <c r="C166" s="4" t="s">
        <v>302</v>
      </c>
      <c r="D166" s="5">
        <v>42528</v>
      </c>
      <c r="E166" s="5">
        <v>42529</v>
      </c>
      <c r="G166" s="5">
        <v>43783</v>
      </c>
    </row>
    <row r="167" spans="1:8" x14ac:dyDescent="0.2">
      <c r="B167" t="str">
        <f>VLOOKUP(C167,[1]补充空白与2019的股票代码!A:B,2,0)</f>
        <v>603000.SH</v>
      </c>
      <c r="C167" s="4" t="s">
        <v>304</v>
      </c>
      <c r="D167" s="5">
        <v>42538</v>
      </c>
      <c r="E167" s="5">
        <v>42544</v>
      </c>
      <c r="F167" s="4" t="s">
        <v>305</v>
      </c>
      <c r="G167" s="5">
        <v>43783</v>
      </c>
    </row>
    <row r="168" spans="1:8" x14ac:dyDescent="0.2">
      <c r="A168">
        <v>2019113</v>
      </c>
      <c r="B168" t="str">
        <f>VLOOKUP(C168,[1]补充空白与2019的股票代码!A:B,2,0)</f>
        <v>603218.SH</v>
      </c>
      <c r="C168" s="4" t="s">
        <v>24</v>
      </c>
      <c r="D168" s="5">
        <v>42780</v>
      </c>
      <c r="E168" s="5">
        <v>42804</v>
      </c>
      <c r="F168" s="4" t="s">
        <v>306</v>
      </c>
      <c r="G168" s="5">
        <v>43769</v>
      </c>
    </row>
    <row r="169" spans="1:8" x14ac:dyDescent="0.2">
      <c r="A169">
        <v>2019120</v>
      </c>
      <c r="B169" t="str">
        <f>VLOOKUP(C169,[1]补充空白与2019的股票代码!A:B,2,0)</f>
        <v>002122.SZ</v>
      </c>
      <c r="C169" s="4" t="s">
        <v>307</v>
      </c>
      <c r="G169" s="5">
        <v>43769</v>
      </c>
      <c r="H169" t="s">
        <v>171</v>
      </c>
    </row>
    <row r="170" spans="1:8" x14ac:dyDescent="0.2">
      <c r="A170">
        <v>2019108</v>
      </c>
      <c r="B170" t="str">
        <f>VLOOKUP(C170,[1]补充空白与2019的股票代码!A:B,2,0)</f>
        <v>000420.SZ</v>
      </c>
      <c r="C170" s="4" t="s">
        <v>308</v>
      </c>
      <c r="D170" s="5">
        <v>42304</v>
      </c>
      <c r="E170" s="5">
        <v>42583</v>
      </c>
      <c r="F170" s="4" t="s">
        <v>309</v>
      </c>
      <c r="G170" s="5">
        <v>43750</v>
      </c>
    </row>
    <row r="171" spans="1:8" x14ac:dyDescent="0.2">
      <c r="A171">
        <v>201997</v>
      </c>
      <c r="B171" t="str">
        <f>VLOOKUP(C171,[1]补充空白与2019的股票代码!A:B,2,0)</f>
        <v>832650.NQ</v>
      </c>
      <c r="C171" s="4" t="s">
        <v>310</v>
      </c>
      <c r="D171" s="5">
        <v>42734</v>
      </c>
      <c r="E171" s="5">
        <v>42741</v>
      </c>
      <c r="F171" s="4" t="s">
        <v>311</v>
      </c>
      <c r="G171" s="5">
        <v>43712</v>
      </c>
    </row>
    <row r="172" spans="1:8" x14ac:dyDescent="0.2">
      <c r="A172">
        <v>201996</v>
      </c>
      <c r="B172" t="str">
        <f>VLOOKUP(C172,[1]补充空白与2019的股票代码!A:B,2,0)</f>
        <v>832650.NQ</v>
      </c>
      <c r="C172" s="4" t="s">
        <v>310</v>
      </c>
      <c r="G172" s="5">
        <v>43712</v>
      </c>
      <c r="H172" t="s">
        <v>171</v>
      </c>
    </row>
    <row r="173" spans="1:8" x14ac:dyDescent="0.2">
      <c r="B173" t="str">
        <f>VLOOKUP(C173,[1]补充空白与2019的股票代码!A:B,2,0)</f>
        <v>600615.SH</v>
      </c>
      <c r="C173" t="s">
        <v>312</v>
      </c>
      <c r="D173" s="5">
        <v>42402</v>
      </c>
      <c r="E173" s="5">
        <v>42445</v>
      </c>
      <c r="F173" s="4" t="s">
        <v>313</v>
      </c>
      <c r="G173" s="5">
        <v>43648</v>
      </c>
    </row>
    <row r="174" spans="1:8" x14ac:dyDescent="0.2">
      <c r="B174" t="str">
        <f>VLOOKUP(C174,[1]补充空白与2019的股票代码!A:B,2,0)</f>
        <v>002218.SZ</v>
      </c>
      <c r="C174" s="4" t="s">
        <v>314</v>
      </c>
      <c r="D174" s="5">
        <v>42439</v>
      </c>
      <c r="E174" s="5">
        <v>42467</v>
      </c>
      <c r="F174" s="4" t="s">
        <v>315</v>
      </c>
      <c r="G174" s="5">
        <v>43648</v>
      </c>
    </row>
    <row r="175" spans="1:8" x14ac:dyDescent="0.2">
      <c r="B175" t="str">
        <f>VLOOKUP(C175,[1]补充空白与2019的股票代码!A:B,2,0)</f>
        <v>002060.SZ</v>
      </c>
      <c r="C175" s="4" t="s">
        <v>316</v>
      </c>
      <c r="D175" s="5">
        <v>42459</v>
      </c>
      <c r="E175" s="5">
        <v>42521</v>
      </c>
      <c r="F175" s="4" t="s">
        <v>317</v>
      </c>
      <c r="G175" s="5">
        <v>43648</v>
      </c>
    </row>
    <row r="176" spans="1:8" x14ac:dyDescent="0.2">
      <c r="B176" t="str">
        <f>VLOOKUP(C176,[1]补充空白与2019的股票代码!A:B,2,0)</f>
        <v>600336.SH</v>
      </c>
      <c r="C176" s="4" t="s">
        <v>318</v>
      </c>
      <c r="D176" s="5">
        <v>42482</v>
      </c>
      <c r="E176" s="5">
        <v>42510</v>
      </c>
      <c r="F176" s="4" t="s">
        <v>319</v>
      </c>
      <c r="G176" s="5">
        <v>43648</v>
      </c>
    </row>
    <row r="177" spans="1:8" x14ac:dyDescent="0.2">
      <c r="B177" t="str">
        <f>VLOOKUP(C177,[1]补充空白与2019的股票代码!A:B,2,0)</f>
        <v>000921.SZ</v>
      </c>
      <c r="C177" s="4" t="s">
        <v>320</v>
      </c>
      <c r="D177" s="5">
        <v>42507</v>
      </c>
      <c r="E177" s="5">
        <v>42524</v>
      </c>
      <c r="F177" s="4" t="s">
        <v>321</v>
      </c>
      <c r="G177" s="5">
        <v>43648</v>
      </c>
    </row>
    <row r="178" spans="1:8" x14ac:dyDescent="0.2">
      <c r="A178">
        <v>201938</v>
      </c>
      <c r="B178" t="str">
        <f>VLOOKUP(C178,[1]补充空白与2019的股票代码!A:B,2,0)</f>
        <v>002346.SZ</v>
      </c>
      <c r="C178" s="4" t="s">
        <v>322</v>
      </c>
      <c r="D178" s="5">
        <v>42684</v>
      </c>
      <c r="E178" s="5">
        <v>42702</v>
      </c>
      <c r="F178" s="4" t="s">
        <v>323</v>
      </c>
      <c r="G178" s="5">
        <v>43609</v>
      </c>
    </row>
    <row r="179" spans="1:8" x14ac:dyDescent="0.2">
      <c r="B179" t="str">
        <f>VLOOKUP(C179,[1]补充空白与2019的股票代码!A:B,2,0)</f>
        <v>300419.SZ</v>
      </c>
      <c r="C179" s="4" t="s">
        <v>324</v>
      </c>
      <c r="D179" s="5">
        <v>42047</v>
      </c>
      <c r="E179" s="5">
        <v>42048</v>
      </c>
      <c r="G179" s="5">
        <v>43545</v>
      </c>
      <c r="H179" t="s">
        <v>12</v>
      </c>
    </row>
    <row r="180" spans="1:8" x14ac:dyDescent="0.2">
      <c r="B180" t="str">
        <f>VLOOKUP(C180,[1]补充空白与2019的股票代码!A:B,2,0)</f>
        <v>300419.SZ</v>
      </c>
      <c r="C180" s="4" t="s">
        <v>324</v>
      </c>
      <c r="D180" s="5">
        <v>42051</v>
      </c>
      <c r="E180" s="5">
        <v>42051</v>
      </c>
      <c r="G180" s="5">
        <v>43546</v>
      </c>
    </row>
    <row r="181" spans="1:8" x14ac:dyDescent="0.2">
      <c r="B181" t="str">
        <f>VLOOKUP(C181,[1]补充空白与2019的股票代码!A:B,2,0)</f>
        <v>300417.SZ</v>
      </c>
      <c r="C181" s="4" t="s">
        <v>325</v>
      </c>
      <c r="D181" s="5">
        <v>42150</v>
      </c>
      <c r="E181" s="5">
        <v>42152</v>
      </c>
      <c r="G181" s="5">
        <v>43547</v>
      </c>
    </row>
    <row r="182" spans="1:8" x14ac:dyDescent="0.2">
      <c r="B182" t="str">
        <f>VLOOKUP(C182,[1]补充空白与2019的股票代码!A:B,2,0)</f>
        <v>300452.SZ</v>
      </c>
      <c r="C182" s="4" t="s">
        <v>326</v>
      </c>
      <c r="D182" s="5">
        <v>42208</v>
      </c>
      <c r="E182" s="5">
        <v>42209</v>
      </c>
      <c r="G182" s="5">
        <v>43548</v>
      </c>
      <c r="H182" t="s">
        <v>12</v>
      </c>
    </row>
    <row r="183" spans="1:8" x14ac:dyDescent="0.2">
      <c r="B183" t="str">
        <f>VLOOKUP(C183,[1]补充空白与2019的股票代码!A:B,2,0)</f>
        <v>300452.SZ</v>
      </c>
      <c r="C183" s="4" t="s">
        <v>326</v>
      </c>
      <c r="D183" s="5">
        <v>42212</v>
      </c>
      <c r="E183" s="5">
        <v>42213</v>
      </c>
      <c r="G183" s="5">
        <v>43549</v>
      </c>
    </row>
    <row r="184" spans="1:8" x14ac:dyDescent="0.2">
      <c r="B184" t="str">
        <f>VLOOKUP(C184,[1]补充空白与2019的股票代码!A:B,2,0)</f>
        <v>300489.SZ</v>
      </c>
      <c r="C184" s="4" t="s">
        <v>327</v>
      </c>
      <c r="D184" s="5">
        <v>42460</v>
      </c>
      <c r="E184" s="5">
        <v>42461</v>
      </c>
      <c r="G184" s="5">
        <v>43550</v>
      </c>
    </row>
    <row r="185" spans="1:8" x14ac:dyDescent="0.2">
      <c r="A185">
        <v>2018111</v>
      </c>
      <c r="B185" t="str">
        <f>VLOOKUP(C185,'[1]2012-2013与2016-2018股票代码'!A:B,2,0)</f>
        <v>002082.SZ</v>
      </c>
      <c r="C185" t="s">
        <v>328</v>
      </c>
      <c r="D185" s="5">
        <v>41943</v>
      </c>
      <c r="E185" s="5">
        <v>41946</v>
      </c>
      <c r="G185" s="5">
        <v>43463</v>
      </c>
    </row>
    <row r="186" spans="1:8" x14ac:dyDescent="0.2">
      <c r="B186" t="str">
        <f>VLOOKUP(C186,'[1]2012-2013与2016-2018股票代码'!A:B,2,0)</f>
        <v>600792.SH</v>
      </c>
      <c r="C186" t="s">
        <v>329</v>
      </c>
      <c r="D186" s="5">
        <v>42265</v>
      </c>
      <c r="E186" s="5">
        <v>42286</v>
      </c>
      <c r="F186" s="4" t="s">
        <v>330</v>
      </c>
      <c r="G186" s="5">
        <v>43462</v>
      </c>
    </row>
    <row r="187" spans="1:8" x14ac:dyDescent="0.2">
      <c r="B187" t="str">
        <f>VLOOKUP(C187,'[1]2012-2013与2016-2018股票代码'!A:B,2,0)</f>
        <v>600749.SH</v>
      </c>
      <c r="C187" s="4" t="s">
        <v>331</v>
      </c>
      <c r="D187" s="5">
        <v>42200</v>
      </c>
      <c r="E187" s="5">
        <v>42202</v>
      </c>
      <c r="F187" s="4" t="s">
        <v>332</v>
      </c>
      <c r="G187" s="5">
        <v>43462</v>
      </c>
    </row>
    <row r="188" spans="1:8" x14ac:dyDescent="0.2">
      <c r="B188" t="str">
        <f>VLOOKUP(C188,'[1]2012-2013与2016-2018股票代码'!A:B,2,0)</f>
        <v>600971.SH</v>
      </c>
      <c r="C188" s="4" t="s">
        <v>333</v>
      </c>
      <c r="D188" s="7">
        <v>42275</v>
      </c>
      <c r="E188" s="7">
        <v>42276</v>
      </c>
      <c r="G188" s="5">
        <v>43462</v>
      </c>
    </row>
    <row r="189" spans="1:8" x14ac:dyDescent="0.2">
      <c r="B189" t="str">
        <f>VLOOKUP(C189,'[1]2012-2013与2016-2018股票代码'!A:B,2,0)</f>
        <v>600117.SH</v>
      </c>
      <c r="C189" s="4" t="s">
        <v>334</v>
      </c>
      <c r="D189" s="7">
        <v>42277</v>
      </c>
      <c r="E189" s="7">
        <v>42285</v>
      </c>
      <c r="G189" s="5">
        <v>43462</v>
      </c>
    </row>
    <row r="190" spans="1:8" x14ac:dyDescent="0.2">
      <c r="B190" t="str">
        <f>VLOOKUP(C190,'[1]2012-2013与2016-2018股票代码'!A:B,2,0)</f>
        <v>600782.SH</v>
      </c>
      <c r="C190" s="4" t="s">
        <v>335</v>
      </c>
      <c r="D190" s="7">
        <v>42277</v>
      </c>
      <c r="E190" s="7">
        <v>42285</v>
      </c>
      <c r="G190" s="5">
        <v>43462</v>
      </c>
    </row>
    <row r="191" spans="1:8" x14ac:dyDescent="0.2">
      <c r="B191" t="str">
        <f>VLOOKUP(C191,'[1]2012-2013与2016-2018股票代码'!A:B,2,0)</f>
        <v>600839.SH</v>
      </c>
      <c r="C191" t="s">
        <v>336</v>
      </c>
      <c r="D191" s="5">
        <v>42164</v>
      </c>
      <c r="E191" s="5">
        <v>42165</v>
      </c>
      <c r="F191" s="4" t="s">
        <v>337</v>
      </c>
      <c r="G191" s="5">
        <v>43462</v>
      </c>
    </row>
    <row r="192" spans="1:8" x14ac:dyDescent="0.2">
      <c r="B192" t="str">
        <f>VLOOKUP(C192,'[1]2012-2013与2016-2018股票代码'!A:B,2,0)</f>
        <v>600072.SH</v>
      </c>
      <c r="C192" t="s">
        <v>338</v>
      </c>
      <c r="D192" s="5">
        <v>42209</v>
      </c>
      <c r="E192" s="5">
        <v>42212</v>
      </c>
      <c r="G192" s="5">
        <v>43462</v>
      </c>
    </row>
    <row r="193" spans="2:8" x14ac:dyDescent="0.2">
      <c r="B193" t="str">
        <f>VLOOKUP(C193,'[1]2012-2013与2016-2018股票代码'!A:B,2,0)</f>
        <v>600198.SH</v>
      </c>
      <c r="C193" t="s">
        <v>339</v>
      </c>
      <c r="D193" s="5">
        <v>42153</v>
      </c>
      <c r="E193" s="5">
        <v>42156</v>
      </c>
      <c r="F193" s="5"/>
      <c r="G193" s="5">
        <v>43462</v>
      </c>
    </row>
    <row r="194" spans="2:8" x14ac:dyDescent="0.2">
      <c r="B194" t="str">
        <f>VLOOKUP(C194,'[1]2012-2013与2016-2018股票代码'!A:B,2,0)</f>
        <v>600220.SH</v>
      </c>
      <c r="C194" t="s">
        <v>340</v>
      </c>
      <c r="D194" s="5">
        <v>42167</v>
      </c>
      <c r="E194" s="5">
        <v>42170</v>
      </c>
      <c r="G194" s="5">
        <v>43462</v>
      </c>
    </row>
    <row r="195" spans="2:8" x14ac:dyDescent="0.2">
      <c r="B195" t="str">
        <f>VLOOKUP(C195,'[1]2012-2013与2016-2018股票代码'!A:B,2,0)</f>
        <v>601718.SH</v>
      </c>
      <c r="C195" t="s">
        <v>341</v>
      </c>
      <c r="D195" s="7">
        <v>42115</v>
      </c>
      <c r="E195" s="7">
        <v>42116</v>
      </c>
      <c r="G195" s="5">
        <v>43462</v>
      </c>
    </row>
    <row r="196" spans="2:8" x14ac:dyDescent="0.2">
      <c r="B196" t="str">
        <f>VLOOKUP(C196,'[1]2012-2013与2016-2018股票代码'!A:B,2,0)</f>
        <v>600317.SH</v>
      </c>
      <c r="C196" s="4" t="s">
        <v>342</v>
      </c>
      <c r="D196" s="5">
        <v>41873</v>
      </c>
      <c r="E196" s="5">
        <v>41876</v>
      </c>
      <c r="F196" s="4" t="s">
        <v>343</v>
      </c>
      <c r="G196" s="5">
        <v>43462</v>
      </c>
      <c r="H196" t="s">
        <v>131</v>
      </c>
    </row>
    <row r="197" spans="2:8" x14ac:dyDescent="0.2">
      <c r="B197" t="str">
        <f>VLOOKUP(C197,'[1]2012-2013与2016-2018股票代码'!A:B,2,0)</f>
        <v>600317.SH</v>
      </c>
      <c r="C197" s="4" t="s">
        <v>342</v>
      </c>
      <c r="D197" s="5">
        <v>41884</v>
      </c>
      <c r="E197" s="5">
        <v>41891</v>
      </c>
      <c r="F197" s="4" t="s">
        <v>344</v>
      </c>
      <c r="G197" s="5">
        <v>43462</v>
      </c>
    </row>
    <row r="198" spans="2:8" x14ac:dyDescent="0.2">
      <c r="B198" t="str">
        <f>VLOOKUP(C198,'[1]2012-2013与2016-2018股票代码'!A:B,2,0)</f>
        <v>600317.SH</v>
      </c>
      <c r="C198" s="4" t="s">
        <v>342</v>
      </c>
      <c r="D198" s="7">
        <v>41932</v>
      </c>
      <c r="E198" s="7">
        <v>41933</v>
      </c>
      <c r="G198" s="5">
        <v>43462</v>
      </c>
    </row>
    <row r="199" spans="2:8" x14ac:dyDescent="0.2">
      <c r="B199" t="str">
        <f>VLOOKUP(C199,'[1]2012-2013与2016-2018股票代码'!A:B,2,0)</f>
        <v>600765.SH</v>
      </c>
      <c r="C199" s="4" t="s">
        <v>345</v>
      </c>
      <c r="D199" s="5">
        <v>41905</v>
      </c>
      <c r="E199" s="5">
        <v>41906</v>
      </c>
      <c r="G199" s="5">
        <v>43462</v>
      </c>
    </row>
    <row r="200" spans="2:8" x14ac:dyDescent="0.2">
      <c r="B200" t="str">
        <f>VLOOKUP(C200,'[1]2012-2013与2016-2018股票代码'!A:B,2,0)</f>
        <v>603077.SH</v>
      </c>
      <c r="C200" t="s">
        <v>346</v>
      </c>
      <c r="D200" s="5">
        <v>42389</v>
      </c>
      <c r="E200" s="5">
        <v>42391</v>
      </c>
      <c r="G200" s="5">
        <v>43462</v>
      </c>
    </row>
    <row r="201" spans="2:8" x14ac:dyDescent="0.2">
      <c r="B201" t="str">
        <f>VLOOKUP(C201,'[1]2012-2013与2016-2018股票代码'!A:B,2,0)</f>
        <v>002224.SZ</v>
      </c>
      <c r="C201" t="s">
        <v>347</v>
      </c>
      <c r="D201" s="5">
        <v>42359</v>
      </c>
      <c r="E201" s="5">
        <v>42360</v>
      </c>
      <c r="G201" s="5">
        <v>43462</v>
      </c>
    </row>
    <row r="202" spans="2:8" x14ac:dyDescent="0.2">
      <c r="B202" t="str">
        <f>VLOOKUP(C202,'[1]2012-2013与2016-2018股票代码'!A:B,2,0)</f>
        <v>002330.SZ</v>
      </c>
      <c r="C202" t="s">
        <v>348</v>
      </c>
      <c r="D202" s="5">
        <v>42362</v>
      </c>
      <c r="E202" s="5">
        <v>42363</v>
      </c>
      <c r="G202" s="5">
        <v>43462</v>
      </c>
    </row>
    <row r="203" spans="2:8" x14ac:dyDescent="0.2">
      <c r="B203" t="str">
        <f>VLOOKUP(C203,'[1]2012-2013与2016-2018股票代码'!A:B,2,0)</f>
        <v>002506.SZ</v>
      </c>
      <c r="C203" s="4" t="s">
        <v>349</v>
      </c>
      <c r="D203" s="5">
        <v>42374</v>
      </c>
      <c r="E203" s="5">
        <v>42376</v>
      </c>
      <c r="G203" s="5">
        <v>43462</v>
      </c>
    </row>
    <row r="204" spans="2:8" x14ac:dyDescent="0.2">
      <c r="B204" t="str">
        <f>VLOOKUP(C204,'[1]2012-2013与2016-2018股票代码'!A:B,2,0)</f>
        <v>300479.SZ</v>
      </c>
      <c r="C204" t="s">
        <v>350</v>
      </c>
      <c r="D204" s="7">
        <v>42404</v>
      </c>
      <c r="E204" s="7">
        <v>42405</v>
      </c>
      <c r="G204" s="5">
        <v>43462</v>
      </c>
    </row>
    <row r="205" spans="2:8" x14ac:dyDescent="0.2">
      <c r="B205" t="str">
        <f>VLOOKUP(C205,'[1]2012-2013与2016-2018股票代码'!A:B,2,0)</f>
        <v>600845.SH</v>
      </c>
      <c r="C205" t="s">
        <v>351</v>
      </c>
      <c r="D205" s="5">
        <v>42188</v>
      </c>
      <c r="E205" s="5">
        <v>42191</v>
      </c>
      <c r="G205" s="5">
        <v>43445</v>
      </c>
      <c r="H205" t="s">
        <v>352</v>
      </c>
    </row>
    <row r="206" spans="2:8" x14ac:dyDescent="0.2">
      <c r="B206" t="str">
        <f>VLOOKUP(C206,'[1]2012-2013与2016-2018股票代码'!A:B,2,0)</f>
        <v>600845.SH</v>
      </c>
      <c r="C206" t="s">
        <v>351</v>
      </c>
      <c r="D206" s="5">
        <v>42192</v>
      </c>
      <c r="E206" s="5">
        <v>42198</v>
      </c>
      <c r="G206" s="5">
        <v>43445</v>
      </c>
    </row>
    <row r="207" spans="2:8" x14ac:dyDescent="0.2">
      <c r="B207" t="str">
        <f>VLOOKUP(C207,'[1]2012-2013与2016-2018股票代码'!A:B,2,0)</f>
        <v>600845.SH</v>
      </c>
      <c r="C207" t="s">
        <v>351</v>
      </c>
      <c r="D207" s="7">
        <v>42212</v>
      </c>
      <c r="E207" s="7">
        <v>42213</v>
      </c>
      <c r="G207" s="5">
        <v>43445</v>
      </c>
    </row>
    <row r="208" spans="2:8" x14ac:dyDescent="0.2">
      <c r="B208" t="str">
        <f>VLOOKUP(C208,'[1]2012-2013与2016-2018股票代码'!A:B,2,0)</f>
        <v>600845.SH</v>
      </c>
      <c r="C208" t="s">
        <v>351</v>
      </c>
      <c r="D208" s="5">
        <v>42249</v>
      </c>
      <c r="E208" s="5">
        <v>42254</v>
      </c>
      <c r="G208" s="5">
        <v>43445</v>
      </c>
    </row>
    <row r="209" spans="2:7" x14ac:dyDescent="0.2">
      <c r="B209" t="str">
        <f>VLOOKUP(C209,'[1]2012-2013与2016-2018股票代码'!A:B,2,0)</f>
        <v>600845.SH</v>
      </c>
      <c r="C209" t="s">
        <v>351</v>
      </c>
      <c r="D209" s="7">
        <v>42243</v>
      </c>
      <c r="E209" s="7">
        <v>42243</v>
      </c>
      <c r="G209" s="5">
        <v>43445</v>
      </c>
    </row>
    <row r="210" spans="2:7" x14ac:dyDescent="0.2">
      <c r="B210" t="str">
        <f>VLOOKUP(C210,'[1]2012-2013与2016-2018股票代码'!A:B,2,0)</f>
        <v>002394.SZ</v>
      </c>
      <c r="C210" t="s">
        <v>353</v>
      </c>
      <c r="D210" s="5">
        <v>42188</v>
      </c>
      <c r="E210" s="5">
        <v>42191</v>
      </c>
      <c r="G210" s="5">
        <v>43445</v>
      </c>
    </row>
    <row r="211" spans="2:7" x14ac:dyDescent="0.2">
      <c r="B211" t="str">
        <f>VLOOKUP(C211,'[1]2012-2013与2016-2018股票代码'!A:B,2,0)</f>
        <v>000851.SZ</v>
      </c>
      <c r="C211" t="s">
        <v>354</v>
      </c>
      <c r="D211" s="5">
        <v>41779</v>
      </c>
      <c r="E211" s="5">
        <v>41779</v>
      </c>
      <c r="F211" s="5">
        <v>41779</v>
      </c>
      <c r="G211" s="5">
        <v>43417</v>
      </c>
    </row>
    <row r="212" spans="2:7" x14ac:dyDescent="0.2">
      <c r="B212" t="str">
        <f>VLOOKUP(C212,'[1]2012-2013与2016-2018股票代码'!A:B,2,0)</f>
        <v>600160.SH</v>
      </c>
      <c r="C212" s="4" t="s">
        <v>355</v>
      </c>
      <c r="D212" s="5">
        <v>41780</v>
      </c>
      <c r="E212" s="5">
        <v>41780</v>
      </c>
      <c r="G212" s="5">
        <v>43417</v>
      </c>
    </row>
    <row r="213" spans="2:7" x14ac:dyDescent="0.2">
      <c r="B213" t="str">
        <f>VLOOKUP(C213,'[1]2012-2013与2016-2018股票代码'!A:B,2,0)</f>
        <v>000790.SZ</v>
      </c>
      <c r="C213" s="4" t="s">
        <v>356</v>
      </c>
      <c r="D213" s="5">
        <v>41800</v>
      </c>
      <c r="E213" s="5">
        <v>41800</v>
      </c>
      <c r="G213" s="5">
        <v>43417</v>
      </c>
    </row>
    <row r="214" spans="2:7" x14ac:dyDescent="0.2">
      <c r="B214" t="str">
        <f>VLOOKUP(C214,'[1]2012-2013与2016-2018股票代码'!A:B,2,0)</f>
        <v>000559.SZ</v>
      </c>
      <c r="C214" s="4" t="s">
        <v>357</v>
      </c>
      <c r="D214" s="5">
        <v>41878</v>
      </c>
      <c r="E214" s="5">
        <v>41878</v>
      </c>
      <c r="G214" s="5">
        <v>43417</v>
      </c>
    </row>
    <row r="215" spans="2:7" x14ac:dyDescent="0.2">
      <c r="B215" t="str">
        <f>VLOOKUP(C215,'[1]2012-2013与2016-2018股票代码'!A:B,2,0)</f>
        <v>002229.SZ</v>
      </c>
      <c r="C215" s="4" t="s">
        <v>358</v>
      </c>
      <c r="D215" s="5">
        <v>42213</v>
      </c>
      <c r="E215" s="5">
        <v>42213</v>
      </c>
      <c r="G215" s="5">
        <v>43417</v>
      </c>
    </row>
    <row r="216" spans="2:7" x14ac:dyDescent="0.2">
      <c r="B216" t="str">
        <f>VLOOKUP(C216,'[1]2012-2013与2016-2018股票代码'!A:B,2,0)</f>
        <v>000988.SZ</v>
      </c>
      <c r="C216" t="s">
        <v>359</v>
      </c>
      <c r="D216" s="5">
        <v>42387</v>
      </c>
      <c r="E216" s="5">
        <v>42387</v>
      </c>
      <c r="G216" s="5">
        <v>43417</v>
      </c>
    </row>
    <row r="217" spans="2:7" x14ac:dyDescent="0.2">
      <c r="B217" t="str">
        <f>VLOOKUP(C217,'[1]2012-2013与2016-2018股票代码'!A:B,2,0)</f>
        <v>600433.SH</v>
      </c>
      <c r="C217" s="4" t="s">
        <v>360</v>
      </c>
      <c r="D217" s="5">
        <v>42426</v>
      </c>
      <c r="E217" s="5">
        <v>42426</v>
      </c>
      <c r="G217" s="5">
        <v>43417</v>
      </c>
    </row>
    <row r="218" spans="2:7" x14ac:dyDescent="0.2">
      <c r="B218" t="str">
        <f>VLOOKUP(C218,'[1]2012-2013与2016-2018股票代码'!A:B,2,0)</f>
        <v>000960.SZ</v>
      </c>
      <c r="C218" s="4" t="s">
        <v>361</v>
      </c>
      <c r="D218" s="5">
        <v>42436</v>
      </c>
      <c r="E218" s="5">
        <v>42436</v>
      </c>
      <c r="G218" s="5">
        <v>43417</v>
      </c>
    </row>
    <row r="219" spans="2:7" x14ac:dyDescent="0.2">
      <c r="B219" t="str">
        <f>VLOOKUP(C219,'[1]2012-2013与2016-2018股票代码'!A:B,2,0)</f>
        <v>601069.SH</v>
      </c>
      <c r="C219" s="4" t="s">
        <v>362</v>
      </c>
      <c r="D219" s="5">
        <v>42440</v>
      </c>
      <c r="E219" s="5">
        <v>42440</v>
      </c>
      <c r="G219" s="5">
        <v>43417</v>
      </c>
    </row>
    <row r="220" spans="2:7" x14ac:dyDescent="0.2">
      <c r="B220" t="str">
        <f>VLOOKUP(C220,'[1]2012-2013与2016-2018股票代码'!A:B,2,0)</f>
        <v>002284.SZ</v>
      </c>
      <c r="C220" t="s">
        <v>363</v>
      </c>
      <c r="D220" s="5">
        <v>42461</v>
      </c>
      <c r="E220" s="5">
        <v>42461</v>
      </c>
      <c r="G220" s="5">
        <v>43417</v>
      </c>
    </row>
    <row r="221" spans="2:7" x14ac:dyDescent="0.2">
      <c r="B221" t="str">
        <f>VLOOKUP(C221,'[1]2012-2013与2016-2018股票代码'!A:B,2,0)</f>
        <v>002601.SZ</v>
      </c>
      <c r="C221" s="4" t="s">
        <v>364</v>
      </c>
      <c r="D221" s="5">
        <v>42489</v>
      </c>
      <c r="E221" s="5">
        <v>42489</v>
      </c>
      <c r="G221" s="5">
        <v>43417</v>
      </c>
    </row>
    <row r="222" spans="2:7" x14ac:dyDescent="0.2">
      <c r="B222" t="str">
        <f>VLOOKUP(C222,'[1]2012-2013与2016-2018股票代码'!A:B,2,0)</f>
        <v>002456.SZ</v>
      </c>
      <c r="C222" t="s">
        <v>365</v>
      </c>
      <c r="D222" s="5">
        <v>42570</v>
      </c>
      <c r="E222" s="5">
        <v>42570</v>
      </c>
      <c r="G222" s="5">
        <v>43417</v>
      </c>
    </row>
    <row r="223" spans="2:7" x14ac:dyDescent="0.2">
      <c r="B223" t="str">
        <f>VLOOKUP(C223,'[1]2012-2013与2016-2018股票代码'!A:B,2,0)</f>
        <v>000413.SZ</v>
      </c>
      <c r="C223" t="s">
        <v>366</v>
      </c>
      <c r="D223" s="5">
        <v>42579</v>
      </c>
      <c r="E223" s="5">
        <v>42579</v>
      </c>
      <c r="G223" s="5">
        <v>43417</v>
      </c>
    </row>
    <row r="224" spans="2:7" x14ac:dyDescent="0.2">
      <c r="B224" t="str">
        <f>VLOOKUP(C224,'[1]2012-2013与2016-2018股票代码'!A:B,2,0)</f>
        <v>000017.SZ</v>
      </c>
      <c r="C224" t="s">
        <v>367</v>
      </c>
      <c r="D224" s="5">
        <v>42730</v>
      </c>
      <c r="E224" s="5">
        <v>42730</v>
      </c>
      <c r="G224" s="5">
        <v>43417</v>
      </c>
    </row>
    <row r="225" spans="1:7" x14ac:dyDescent="0.2">
      <c r="B225" t="str">
        <f>VLOOKUP(C225,'[1]2012-2013与2016-2018股票代码'!A:B,2,0)</f>
        <v>000997.SZ</v>
      </c>
      <c r="C225" t="s">
        <v>368</v>
      </c>
      <c r="D225" s="5">
        <v>42730</v>
      </c>
      <c r="E225" s="5">
        <v>42730</v>
      </c>
      <c r="G225" s="5">
        <v>43417</v>
      </c>
    </row>
    <row r="226" spans="1:7" x14ac:dyDescent="0.2">
      <c r="B226" t="str">
        <f>VLOOKUP(C226,'[1]2012-2013与2016-2018股票代码'!A:B,2,0)</f>
        <v>600209.SH</v>
      </c>
      <c r="C226" t="s">
        <v>369</v>
      </c>
      <c r="D226" s="5">
        <v>42753</v>
      </c>
      <c r="E226" s="5">
        <v>42753</v>
      </c>
      <c r="G226" s="5">
        <v>43417</v>
      </c>
    </row>
    <row r="227" spans="1:7" x14ac:dyDescent="0.2">
      <c r="B227" t="str">
        <f>VLOOKUP(C227,'[1]2012-2013与2016-2018股票代码'!A:B,2,0)</f>
        <v>603036.SH</v>
      </c>
      <c r="C227" t="s">
        <v>173</v>
      </c>
      <c r="D227" s="5">
        <v>42738</v>
      </c>
      <c r="E227" s="5">
        <v>42808</v>
      </c>
      <c r="F227" t="s">
        <v>370</v>
      </c>
      <c r="G227" s="5">
        <v>43403</v>
      </c>
    </row>
    <row r="228" spans="1:7" x14ac:dyDescent="0.2">
      <c r="B228" t="str">
        <f>VLOOKUP(C228,'[1]2012-2013与2016-2018股票代码'!A:B,2,0)</f>
        <v>603628.SH</v>
      </c>
      <c r="C228" t="s">
        <v>371</v>
      </c>
      <c r="D228" s="5">
        <v>42786</v>
      </c>
      <c r="E228" s="5">
        <v>42866</v>
      </c>
      <c r="F228" t="s">
        <v>372</v>
      </c>
      <c r="G228" s="5">
        <v>43403</v>
      </c>
    </row>
    <row r="229" spans="1:7" x14ac:dyDescent="0.2">
      <c r="B229" t="str">
        <f>VLOOKUP(C229,'[1]2012-2013与2016-2018股票代码'!A:B,2,0)</f>
        <v>603389.SH</v>
      </c>
      <c r="C229" t="s">
        <v>220</v>
      </c>
      <c r="D229" s="5">
        <v>42786</v>
      </c>
      <c r="E229" s="5">
        <v>42887</v>
      </c>
      <c r="F229" t="s">
        <v>373</v>
      </c>
      <c r="G229" s="5">
        <v>43403</v>
      </c>
    </row>
    <row r="230" spans="1:7" x14ac:dyDescent="0.2">
      <c r="A230">
        <v>201896</v>
      </c>
      <c r="B230" t="str">
        <f>VLOOKUP(C230,'[1]2012-2013与2016-2018股票代码'!A:B,2,0)</f>
        <v>603319.SH</v>
      </c>
      <c r="C230" t="s">
        <v>374</v>
      </c>
      <c r="D230" s="5">
        <v>42731</v>
      </c>
      <c r="E230" s="5">
        <v>42775</v>
      </c>
      <c r="F230" t="s">
        <v>375</v>
      </c>
      <c r="G230" s="5">
        <v>43384</v>
      </c>
    </row>
    <row r="231" spans="1:7" x14ac:dyDescent="0.2">
      <c r="B231" t="str">
        <f>VLOOKUP(C231,'[1]2012-2013与2016-2018股票代码'!A:B,2,0)</f>
        <v>600221.SH</v>
      </c>
      <c r="C231" t="s">
        <v>376</v>
      </c>
      <c r="D231" s="7">
        <v>42347</v>
      </c>
      <c r="E231" s="7">
        <v>42347</v>
      </c>
      <c r="G231" s="5">
        <v>43373</v>
      </c>
    </row>
    <row r="232" spans="1:7" x14ac:dyDescent="0.2">
      <c r="B232" t="str">
        <f>VLOOKUP(C232,'[1]2012-2013与2016-2018股票代码'!A:B,2,0)</f>
        <v>603636.SH</v>
      </c>
      <c r="C232" s="4" t="s">
        <v>377</v>
      </c>
      <c r="D232" s="5">
        <v>42377</v>
      </c>
      <c r="E232" s="5">
        <v>42377</v>
      </c>
      <c r="G232" s="5">
        <v>43374</v>
      </c>
    </row>
    <row r="233" spans="1:7" x14ac:dyDescent="0.2">
      <c r="B233" t="str">
        <f>VLOOKUP(C233,'[1]2012-2013与2016-2018股票代码'!A:B,2,0)</f>
        <v>600565.SH</v>
      </c>
      <c r="C233" s="4" t="s">
        <v>378</v>
      </c>
      <c r="D233" s="5">
        <v>42424</v>
      </c>
      <c r="E233" s="5">
        <v>42424</v>
      </c>
      <c r="G233" s="5">
        <v>43375</v>
      </c>
    </row>
    <row r="234" spans="1:7" x14ac:dyDescent="0.2">
      <c r="B234" t="str">
        <f>VLOOKUP(C234,'[1]2012-2013与2016-2018股票代码'!A:B,2,0)</f>
        <v>600172.SH</v>
      </c>
      <c r="C234" t="s">
        <v>379</v>
      </c>
      <c r="D234" s="5">
        <v>42451</v>
      </c>
      <c r="E234" s="5">
        <v>42451</v>
      </c>
      <c r="G234" s="5">
        <v>43376</v>
      </c>
    </row>
    <row r="235" spans="1:7" x14ac:dyDescent="0.2">
      <c r="B235" t="str">
        <f>VLOOKUP(C235,'[1]2012-2013与2016-2018股票代码'!A:B,2,0)</f>
        <v>600610.SH</v>
      </c>
      <c r="C235" t="s">
        <v>380</v>
      </c>
      <c r="D235" s="5">
        <v>42452</v>
      </c>
      <c r="E235" s="5">
        <v>42452</v>
      </c>
      <c r="G235" s="5">
        <v>43377</v>
      </c>
    </row>
    <row r="236" spans="1:7" x14ac:dyDescent="0.2">
      <c r="B236" t="str">
        <f>VLOOKUP(C236,'[1]2012-2013与2016-2018股票代码'!A:B,2,0)</f>
        <v>603618.SH</v>
      </c>
      <c r="C236" t="s">
        <v>264</v>
      </c>
      <c r="D236" s="5">
        <v>42468</v>
      </c>
      <c r="E236" s="5">
        <v>42468</v>
      </c>
      <c r="G236" s="5">
        <v>43378</v>
      </c>
    </row>
    <row r="237" spans="1:7" x14ac:dyDescent="0.2">
      <c r="A237">
        <v>201881</v>
      </c>
      <c r="B237" t="str">
        <f>VLOOKUP(C237,'[1]2012-2013与2016-2018股票代码'!A:B,2,0)</f>
        <v>000798.SZ</v>
      </c>
      <c r="C237" s="4" t="s">
        <v>381</v>
      </c>
      <c r="D237" s="5">
        <v>42506</v>
      </c>
      <c r="E237" s="5">
        <v>42522</v>
      </c>
      <c r="F237" t="s">
        <v>382</v>
      </c>
      <c r="G237" s="5">
        <v>43334</v>
      </c>
    </row>
    <row r="238" spans="1:7" x14ac:dyDescent="0.2">
      <c r="A238">
        <v>201888</v>
      </c>
      <c r="B238" t="str">
        <f>VLOOKUP(C238,'[1]2012-2013与2016-2018股票代码'!A:B,2,0)</f>
        <v>002552.SZ</v>
      </c>
      <c r="C238" t="s">
        <v>383</v>
      </c>
      <c r="D238" s="5">
        <v>42495</v>
      </c>
      <c r="E238" s="5">
        <v>42513</v>
      </c>
      <c r="G238" s="5">
        <v>43334</v>
      </c>
    </row>
    <row r="239" spans="1:7" x14ac:dyDescent="0.2">
      <c r="A239">
        <v>201874</v>
      </c>
      <c r="B239" t="str">
        <f>VLOOKUP(C239,'[1]2012-2013与2016-2018股票代码'!A:B,2,0)</f>
        <v>603988.SH</v>
      </c>
      <c r="C239" t="s">
        <v>384</v>
      </c>
      <c r="D239" s="5">
        <v>42355</v>
      </c>
      <c r="E239" s="5">
        <v>42564</v>
      </c>
      <c r="F239" t="s">
        <v>385</v>
      </c>
      <c r="G239" s="5">
        <v>43312</v>
      </c>
    </row>
    <row r="240" spans="1:7" x14ac:dyDescent="0.2">
      <c r="A240">
        <v>201871</v>
      </c>
      <c r="B240" t="str">
        <f>VLOOKUP(C240,'[1]2012-2013与2016-2018股票代码'!A:B,2,0)</f>
        <v>603600.SH</v>
      </c>
      <c r="C240" t="s">
        <v>386</v>
      </c>
      <c r="D240" s="5">
        <v>42524</v>
      </c>
      <c r="E240" s="5">
        <v>42545</v>
      </c>
      <c r="F240" t="s">
        <v>387</v>
      </c>
      <c r="G240" s="5">
        <v>43312</v>
      </c>
    </row>
    <row r="241" spans="1:8" x14ac:dyDescent="0.2">
      <c r="A241">
        <v>201877</v>
      </c>
      <c r="B241" t="str">
        <f>VLOOKUP(C241,'[1]2012-2013与2016-2018股票代码'!A:B,2,0)</f>
        <v>002606.SZ</v>
      </c>
      <c r="C241" t="s">
        <v>388</v>
      </c>
      <c r="D241" s="5">
        <v>42549</v>
      </c>
      <c r="E241" s="5">
        <v>42796</v>
      </c>
      <c r="F241" t="s">
        <v>389</v>
      </c>
      <c r="G241" s="5">
        <v>43312</v>
      </c>
    </row>
    <row r="242" spans="1:8" x14ac:dyDescent="0.2">
      <c r="B242" t="str">
        <f>VLOOKUP(C242,'[1]2012-2013与2016-2018股票代码'!A:B,2,0)</f>
        <v>002455.SZ</v>
      </c>
      <c r="C242" s="4" t="s">
        <v>390</v>
      </c>
      <c r="D242" s="5">
        <v>42256</v>
      </c>
      <c r="E242" s="5">
        <v>42262</v>
      </c>
      <c r="F242" t="s">
        <v>391</v>
      </c>
      <c r="G242" s="5">
        <v>43294</v>
      </c>
    </row>
    <row r="243" spans="1:8" x14ac:dyDescent="0.2">
      <c r="B243" t="str">
        <f>VLOOKUP(C243,'[1]2012-2013与2016-2018股票代码'!A:B,2,0)</f>
        <v>300406.SZ</v>
      </c>
      <c r="C243" s="4" t="s">
        <v>392</v>
      </c>
      <c r="D243" s="7">
        <v>42227</v>
      </c>
      <c r="E243" s="7">
        <v>42227</v>
      </c>
      <c r="G243" s="5">
        <v>43295</v>
      </c>
    </row>
    <row r="244" spans="1:8" x14ac:dyDescent="0.2">
      <c r="B244" t="str">
        <f>VLOOKUP(C244,'[1]2012-2013与2016-2018股票代码'!A:B,2,0)</f>
        <v>002757.SZ</v>
      </c>
      <c r="C244" s="4" t="s">
        <v>393</v>
      </c>
      <c r="D244" s="5">
        <v>42205</v>
      </c>
      <c r="E244" s="5">
        <v>42247</v>
      </c>
      <c r="F244" t="s">
        <v>394</v>
      </c>
      <c r="G244" s="5">
        <v>43296</v>
      </c>
    </row>
    <row r="245" spans="1:8" x14ac:dyDescent="0.2">
      <c r="B245" t="str">
        <f>VLOOKUP(C245,'[1]2012-2013与2016-2018股票代码'!A:B,2,0)</f>
        <v>000650.SZ</v>
      </c>
      <c r="C245" s="4" t="s">
        <v>395</v>
      </c>
      <c r="D245" s="5">
        <v>42306</v>
      </c>
      <c r="E245" s="5">
        <v>42307</v>
      </c>
      <c r="F245" s="4" t="s">
        <v>396</v>
      </c>
      <c r="G245" s="5">
        <v>43297</v>
      </c>
    </row>
    <row r="246" spans="1:8" x14ac:dyDescent="0.2">
      <c r="B246" t="str">
        <f>VLOOKUP(C246,'[1]2012-2013与2016-2018股票代码'!A:B,2,0)</f>
        <v>300259.SZ</v>
      </c>
      <c r="C246" s="4" t="s">
        <v>397</v>
      </c>
      <c r="D246" s="5">
        <v>42271</v>
      </c>
      <c r="E246" s="5">
        <v>42290</v>
      </c>
      <c r="F246" s="4" t="s">
        <v>398</v>
      </c>
      <c r="G246" s="5">
        <v>43298</v>
      </c>
    </row>
    <row r="247" spans="1:8" x14ac:dyDescent="0.2">
      <c r="B247" t="str">
        <f>VLOOKUP(C247,'[1]2012-2013与2016-2018股票代码'!A:B,2,0)</f>
        <v>300393.SZ</v>
      </c>
      <c r="C247" s="4" t="s">
        <v>399</v>
      </c>
      <c r="D247" s="5">
        <v>42263</v>
      </c>
      <c r="E247" s="5">
        <v>42264</v>
      </c>
      <c r="G247" s="5">
        <v>43299</v>
      </c>
    </row>
    <row r="248" spans="1:8" x14ac:dyDescent="0.2">
      <c r="B248" t="str">
        <f>VLOOKUP(C248,'[1]2012-2013与2016-2018股票代码'!A:B,2,0)</f>
        <v>300375.SZ</v>
      </c>
      <c r="C248" s="4" t="s">
        <v>400</v>
      </c>
      <c r="D248" s="5">
        <v>42433</v>
      </c>
      <c r="E248" s="5">
        <v>42437</v>
      </c>
      <c r="F248" s="4" t="s">
        <v>401</v>
      </c>
      <c r="G248" s="5">
        <v>43300</v>
      </c>
    </row>
    <row r="249" spans="1:8" x14ac:dyDescent="0.2">
      <c r="B249" t="str">
        <f>VLOOKUP(C249,'[1]2012-2013与2016-2018股票代码'!A:B,2,0)</f>
        <v>300243.SZ</v>
      </c>
      <c r="C249" s="4" t="s">
        <v>402</v>
      </c>
      <c r="D249" s="5">
        <v>42254</v>
      </c>
      <c r="E249" s="5">
        <v>42254</v>
      </c>
      <c r="G249" s="5">
        <v>43301</v>
      </c>
    </row>
    <row r="250" spans="1:8" x14ac:dyDescent="0.2">
      <c r="B250" t="str">
        <f>VLOOKUP(C250,'[1]2012-2013与2016-2018股票代码'!A:B,2,0)</f>
        <v>000666.SZ</v>
      </c>
      <c r="C250" s="4" t="s">
        <v>403</v>
      </c>
      <c r="D250" s="5">
        <v>42222</v>
      </c>
      <c r="E250" s="5">
        <v>42222</v>
      </c>
      <c r="F250" s="4" t="s">
        <v>404</v>
      </c>
      <c r="G250" s="5">
        <v>43294</v>
      </c>
      <c r="H250" t="s">
        <v>405</v>
      </c>
    </row>
    <row r="251" spans="1:8" x14ac:dyDescent="0.2">
      <c r="B251" t="str">
        <f>VLOOKUP(C251,'[1]2012-2013与2016-2018股票代码'!A:B,2,0)</f>
        <v>000666.SZ</v>
      </c>
      <c r="C251" s="4" t="s">
        <v>403</v>
      </c>
      <c r="D251" s="5">
        <v>42235</v>
      </c>
      <c r="E251" s="5">
        <v>42235</v>
      </c>
      <c r="G251" s="5">
        <v>43294</v>
      </c>
    </row>
    <row r="252" spans="1:8" x14ac:dyDescent="0.2">
      <c r="B252" t="str">
        <f>VLOOKUP(C252,'[1]2012-2013与2016-2018股票代码'!A:B,2,0)</f>
        <v>000666.SZ</v>
      </c>
      <c r="C252" s="4" t="s">
        <v>403</v>
      </c>
      <c r="D252" s="5">
        <v>42241</v>
      </c>
      <c r="E252" s="5">
        <v>42241</v>
      </c>
      <c r="G252" s="5">
        <v>43294</v>
      </c>
    </row>
    <row r="253" spans="1:8" x14ac:dyDescent="0.2">
      <c r="B253" t="str">
        <f>VLOOKUP(C253,'[1]2012-2013与2016-2018股票代码'!A:B,2,0)</f>
        <v>000666.SZ</v>
      </c>
      <c r="C253" s="4" t="s">
        <v>403</v>
      </c>
      <c r="D253" s="5">
        <v>42242</v>
      </c>
      <c r="E253" s="5">
        <v>42242</v>
      </c>
      <c r="G253" s="5">
        <v>43294</v>
      </c>
    </row>
    <row r="254" spans="1:8" x14ac:dyDescent="0.2">
      <c r="B254" t="str">
        <f>VLOOKUP(C254,'[1]2012-2013与2016-2018股票代码'!A:B,2,0)</f>
        <v>000666.SZ</v>
      </c>
      <c r="C254" s="4" t="s">
        <v>403</v>
      </c>
      <c r="D254" s="5">
        <v>42254</v>
      </c>
      <c r="E254" s="5">
        <v>42254</v>
      </c>
      <c r="G254" s="5">
        <v>43294</v>
      </c>
    </row>
    <row r="255" spans="1:8" x14ac:dyDescent="0.2">
      <c r="B255" t="str">
        <f>VLOOKUP(C255,'[1]2012-2013与2016-2018股票代码'!A:B,2,0)</f>
        <v>000666.SZ</v>
      </c>
      <c r="C255" s="4" t="s">
        <v>403</v>
      </c>
      <c r="D255" s="5">
        <v>42257</v>
      </c>
      <c r="E255" s="5">
        <v>42257</v>
      </c>
      <c r="G255" s="5">
        <v>43294</v>
      </c>
    </row>
    <row r="256" spans="1:8" x14ac:dyDescent="0.2">
      <c r="B256" t="str">
        <f>VLOOKUP(C256,'[1]2012-2013与2016-2018股票代码'!A:B,2,0)</f>
        <v>000666.SZ</v>
      </c>
      <c r="C256" s="4" t="s">
        <v>403</v>
      </c>
      <c r="D256" s="5">
        <v>42269</v>
      </c>
      <c r="E256" s="5">
        <v>42269</v>
      </c>
      <c r="G256" s="5">
        <v>43294</v>
      </c>
    </row>
    <row r="257" spans="2:8" x14ac:dyDescent="0.2">
      <c r="B257" t="str">
        <f>VLOOKUP(C257,'[1]2012-2013与2016-2018股票代码'!A:B,2,0)</f>
        <v>000666.SZ</v>
      </c>
      <c r="C257" s="4" t="s">
        <v>403</v>
      </c>
      <c r="D257" s="5">
        <v>42321</v>
      </c>
      <c r="E257" s="5">
        <v>42321</v>
      </c>
      <c r="G257" s="5">
        <v>43294</v>
      </c>
    </row>
    <row r="258" spans="2:8" x14ac:dyDescent="0.2">
      <c r="B258" t="str">
        <f>VLOOKUP(C258,'[1]2012-2013与2016-2018股票代码'!A:B,2,0)</f>
        <v>000666.SZ</v>
      </c>
      <c r="C258" s="4" t="s">
        <v>403</v>
      </c>
      <c r="D258" s="5">
        <v>42331</v>
      </c>
      <c r="E258" s="5">
        <v>42331</v>
      </c>
      <c r="G258" s="5">
        <v>43294</v>
      </c>
    </row>
    <row r="259" spans="2:8" x14ac:dyDescent="0.2">
      <c r="B259" t="str">
        <f>VLOOKUP(C259,'[1]2012-2013与2016-2018股票代码'!A:B,2,0)</f>
        <v>000666.SZ</v>
      </c>
      <c r="C259" s="4" t="s">
        <v>403</v>
      </c>
      <c r="D259" s="5">
        <v>42332</v>
      </c>
      <c r="E259" s="5">
        <v>42332</v>
      </c>
      <c r="G259" s="5">
        <v>43294</v>
      </c>
    </row>
    <row r="260" spans="2:8" x14ac:dyDescent="0.2">
      <c r="B260" t="str">
        <f>VLOOKUP(C260,'[1]2012-2013与2016-2018股票代码'!A:B,2,0)</f>
        <v>000666.SZ</v>
      </c>
      <c r="C260" s="4" t="s">
        <v>403</v>
      </c>
      <c r="D260" s="5">
        <v>42334</v>
      </c>
      <c r="E260" s="5">
        <v>42334</v>
      </c>
      <c r="G260" s="5">
        <v>43294</v>
      </c>
    </row>
    <row r="261" spans="2:8" x14ac:dyDescent="0.2">
      <c r="B261" t="str">
        <f>VLOOKUP(C261,'[1]2012-2013与2016-2018股票代码'!A:B,2,0)</f>
        <v>000666.SZ</v>
      </c>
      <c r="C261" s="4" t="s">
        <v>403</v>
      </c>
      <c r="D261" s="5">
        <v>42341</v>
      </c>
      <c r="E261" s="5">
        <v>42341</v>
      </c>
      <c r="G261" s="5">
        <v>43294</v>
      </c>
    </row>
    <row r="262" spans="2:8" ht="27" x14ac:dyDescent="0.2">
      <c r="B262" t="str">
        <f>VLOOKUP(C262,'[1]2012-2013与2016-2018股票代码'!A:B,2,0)</f>
        <v>002428.SZ</v>
      </c>
      <c r="C262" s="4" t="s">
        <v>406</v>
      </c>
      <c r="D262" s="5">
        <v>42375</v>
      </c>
      <c r="E262" s="5">
        <v>42375</v>
      </c>
      <c r="F262" s="4" t="s">
        <v>407</v>
      </c>
      <c r="G262" s="5">
        <v>43294</v>
      </c>
      <c r="H262" t="s">
        <v>405</v>
      </c>
    </row>
    <row r="263" spans="2:8" x14ac:dyDescent="0.2">
      <c r="B263" t="str">
        <f>VLOOKUP(C263,'[1]2012-2013与2016-2018股票代码'!A:B,2,0)</f>
        <v>002428.SZ</v>
      </c>
      <c r="C263" s="4" t="s">
        <v>406</v>
      </c>
      <c r="D263" s="5">
        <v>42380</v>
      </c>
      <c r="E263" s="5">
        <v>42380</v>
      </c>
      <c r="G263" s="5">
        <v>43294</v>
      </c>
    </row>
    <row r="264" spans="2:8" x14ac:dyDescent="0.2">
      <c r="B264" t="str">
        <f>VLOOKUP(C264,'[1]2012-2013与2016-2018股票代码'!A:B,2,0)</f>
        <v>002428.SZ</v>
      </c>
      <c r="C264" s="4" t="s">
        <v>406</v>
      </c>
      <c r="D264" s="5">
        <v>42403</v>
      </c>
      <c r="E264" s="5">
        <v>42403</v>
      </c>
      <c r="G264" s="5">
        <v>43294</v>
      </c>
    </row>
    <row r="265" spans="2:8" x14ac:dyDescent="0.2">
      <c r="B265" t="str">
        <f>VLOOKUP(C265,'[1]2012-2013与2016-2018股票代码'!A:B,2,0)</f>
        <v>002428.SZ</v>
      </c>
      <c r="C265" s="4" t="s">
        <v>406</v>
      </c>
      <c r="D265" s="5">
        <v>42444</v>
      </c>
      <c r="E265" s="5">
        <v>42444</v>
      </c>
      <c r="G265" s="5">
        <v>43294</v>
      </c>
    </row>
    <row r="266" spans="2:8" x14ac:dyDescent="0.2">
      <c r="B266" t="str">
        <f>VLOOKUP(C266,'[1]2012-2013与2016-2018股票代码'!A:B,2,0)</f>
        <v>300163.SZ</v>
      </c>
      <c r="C266" s="4" t="s">
        <v>408</v>
      </c>
      <c r="D266" s="5">
        <v>42418</v>
      </c>
      <c r="E266" s="5">
        <v>42418</v>
      </c>
      <c r="F266" s="4" t="s">
        <v>409</v>
      </c>
      <c r="G266" s="5">
        <v>43294</v>
      </c>
      <c r="H266" t="s">
        <v>12</v>
      </c>
    </row>
    <row r="267" spans="2:8" x14ac:dyDescent="0.2">
      <c r="B267" t="str">
        <f>VLOOKUP(C267,'[1]2012-2013与2016-2018股票代码'!A:B,2,0)</f>
        <v>300163.SZ</v>
      </c>
      <c r="C267" s="4" t="s">
        <v>408</v>
      </c>
      <c r="D267" s="5">
        <v>42429</v>
      </c>
      <c r="E267" s="5">
        <v>42429</v>
      </c>
      <c r="G267" s="5">
        <v>43294</v>
      </c>
    </row>
    <row r="268" spans="2:8" x14ac:dyDescent="0.2">
      <c r="B268" t="str">
        <f>VLOOKUP(C268,'[1]2012-2013与2016-2018股票代码'!A:B,2,0)</f>
        <v>002299.SZ</v>
      </c>
      <c r="C268" s="4" t="s">
        <v>410</v>
      </c>
      <c r="D268" s="5">
        <v>42040</v>
      </c>
      <c r="E268" s="5">
        <v>42040</v>
      </c>
      <c r="G268" s="5">
        <v>43294</v>
      </c>
    </row>
    <row r="269" spans="2:8" x14ac:dyDescent="0.2">
      <c r="B269" t="str">
        <f>VLOOKUP(C269,'[1]2012-2013与2016-2018股票代码'!A:B,2,0)</f>
        <v>300345.SZ</v>
      </c>
      <c r="C269" s="4" t="s">
        <v>411</v>
      </c>
      <c r="D269" s="7">
        <v>42268</v>
      </c>
      <c r="E269" s="7">
        <v>42269</v>
      </c>
      <c r="G269" s="5">
        <v>43294</v>
      </c>
    </row>
    <row r="270" spans="2:8" x14ac:dyDescent="0.2">
      <c r="B270" t="str">
        <f>VLOOKUP(C270,'[1]2012-2013与2016-2018股票代码'!A:B,2,0)</f>
        <v>002354.SZ</v>
      </c>
      <c r="C270" s="4" t="s">
        <v>412</v>
      </c>
      <c r="D270" s="5">
        <v>42333</v>
      </c>
      <c r="E270" s="5">
        <v>42333</v>
      </c>
      <c r="G270" s="5">
        <v>43294</v>
      </c>
    </row>
    <row r="271" spans="2:8" x14ac:dyDescent="0.2">
      <c r="B271" t="str">
        <f>VLOOKUP(C271,'[1]2012-2013与2016-2018股票代码'!A:B,2,0)</f>
        <v>002354.SZ</v>
      </c>
      <c r="C271" s="4" t="s">
        <v>412</v>
      </c>
      <c r="D271" s="5">
        <v>42346</v>
      </c>
      <c r="E271" s="5">
        <v>42346</v>
      </c>
      <c r="G271" s="5">
        <v>43294</v>
      </c>
    </row>
    <row r="272" spans="2:8" x14ac:dyDescent="0.2">
      <c r="B272" t="str">
        <f>VLOOKUP(C272,'[1]2012-2013与2016-2018股票代码'!A:B,2,0)</f>
        <v>300384.SZ</v>
      </c>
      <c r="C272" s="4" t="s">
        <v>413</v>
      </c>
      <c r="D272" s="7">
        <v>42185</v>
      </c>
      <c r="E272" s="7">
        <v>42185</v>
      </c>
      <c r="G272" s="5">
        <v>43294</v>
      </c>
    </row>
    <row r="273" spans="2:7" x14ac:dyDescent="0.2">
      <c r="B273" t="str">
        <f>VLOOKUP(C273,'[1]2012-2013与2016-2018股票代码'!A:B,2,0)</f>
        <v>300384.SZ</v>
      </c>
      <c r="C273" s="4" t="s">
        <v>413</v>
      </c>
      <c r="D273" s="7">
        <v>42188</v>
      </c>
      <c r="E273" s="7">
        <v>42188</v>
      </c>
      <c r="G273" s="5">
        <v>43294</v>
      </c>
    </row>
    <row r="274" spans="2:7" x14ac:dyDescent="0.2">
      <c r="B274" t="str">
        <f>VLOOKUP(C274,'[1]2012-2013与2016-2018股票代码'!A:B,2,0)</f>
        <v>300242.SZ</v>
      </c>
      <c r="C274" s="4" t="s">
        <v>414</v>
      </c>
      <c r="D274" s="7">
        <v>42024</v>
      </c>
      <c r="E274" s="7">
        <v>42025</v>
      </c>
      <c r="G274" s="5">
        <v>43294</v>
      </c>
    </row>
    <row r="275" spans="2:7" x14ac:dyDescent="0.2">
      <c r="B275" t="str">
        <f>VLOOKUP(C275,'[1]2012-2013与2016-2018股票代码'!A:B,2,0)</f>
        <v>300242.SZ</v>
      </c>
      <c r="C275" s="4" t="s">
        <v>414</v>
      </c>
      <c r="D275" s="5">
        <v>42026</v>
      </c>
      <c r="E275" s="5">
        <v>42026</v>
      </c>
      <c r="G275" s="5">
        <v>43294</v>
      </c>
    </row>
    <row r="276" spans="2:7" x14ac:dyDescent="0.2">
      <c r="B276" t="str">
        <f>VLOOKUP(C276,'[1]2012-2013与2016-2018股票代码'!A:B,2,0)</f>
        <v>300388.SZ</v>
      </c>
      <c r="C276" s="4" t="s">
        <v>415</v>
      </c>
      <c r="D276" s="5">
        <v>42136</v>
      </c>
      <c r="E276" s="5">
        <v>42137</v>
      </c>
      <c r="G276" s="5">
        <v>43294</v>
      </c>
    </row>
    <row r="277" spans="2:7" x14ac:dyDescent="0.2">
      <c r="B277" t="str">
        <f>VLOOKUP(C277,'[1]2012-2013与2016-2018股票代码'!A:B,2,0)</f>
        <v>300429.SZ</v>
      </c>
      <c r="C277" s="4" t="s">
        <v>416</v>
      </c>
      <c r="D277" s="5">
        <v>42332</v>
      </c>
      <c r="E277" s="5">
        <v>42332</v>
      </c>
      <c r="G277" s="5">
        <v>43294</v>
      </c>
    </row>
    <row r="278" spans="2:7" x14ac:dyDescent="0.2">
      <c r="B278" t="str">
        <f>VLOOKUP(C278,'[1]2012-2013与2016-2018股票代码'!A:B,2,0)</f>
        <v>300419.SZ</v>
      </c>
      <c r="C278" s="4" t="s">
        <v>324</v>
      </c>
      <c r="D278" s="5">
        <v>42255</v>
      </c>
      <c r="E278" s="5">
        <v>42256</v>
      </c>
      <c r="G278" s="5">
        <v>43294</v>
      </c>
    </row>
    <row r="279" spans="2:7" x14ac:dyDescent="0.2">
      <c r="B279" t="str">
        <f>VLOOKUP(C279,'[1]2012-2013与2016-2018股票代码'!A:B,2,0)</f>
        <v>688095.SH</v>
      </c>
      <c r="C279" t="s">
        <v>417</v>
      </c>
      <c r="D279" s="5">
        <v>42369</v>
      </c>
      <c r="E279" s="5">
        <v>42369</v>
      </c>
      <c r="G279" s="5">
        <v>43285</v>
      </c>
    </row>
    <row r="280" spans="2:7" x14ac:dyDescent="0.2">
      <c r="B280" t="str">
        <f>VLOOKUP(C280,'[1]2012-2013与2016-2018股票代码'!A:B,2,0)</f>
        <v>832502.NQ</v>
      </c>
      <c r="C280" s="4" t="s">
        <v>418</v>
      </c>
      <c r="D280" s="5">
        <v>42369</v>
      </c>
      <c r="E280" s="5">
        <v>42369</v>
      </c>
      <c r="G280" s="5">
        <v>43285</v>
      </c>
    </row>
    <row r="281" spans="2:7" x14ac:dyDescent="0.2">
      <c r="B281" t="str">
        <f>VLOOKUP(C281,'[1]2012-2013与2016-2018股票代码'!A:B,2,0)</f>
        <v>831472.NQ</v>
      </c>
      <c r="C281" s="4" t="s">
        <v>419</v>
      </c>
      <c r="D281" s="5">
        <v>42369</v>
      </c>
      <c r="E281" s="5">
        <v>42369</v>
      </c>
      <c r="G281" s="5">
        <v>43285</v>
      </c>
    </row>
    <row r="282" spans="2:7" x14ac:dyDescent="0.2">
      <c r="B282" t="str">
        <f>VLOOKUP(C282,'[1]2012-2013与2016-2018股票代码'!A:B,2,0)</f>
        <v>430263.NQ</v>
      </c>
      <c r="C282" s="4" t="s">
        <v>420</v>
      </c>
      <c r="D282" s="5">
        <v>42369</v>
      </c>
      <c r="E282" s="5">
        <v>42369</v>
      </c>
      <c r="G282" s="5">
        <v>43285</v>
      </c>
    </row>
    <row r="283" spans="2:7" x14ac:dyDescent="0.2">
      <c r="B283" t="str">
        <f>VLOOKUP(C283,'[1]2012-2013与2016-2018股票代码'!A:B,2,0)</f>
        <v>000400.SZ</v>
      </c>
      <c r="C283" s="4" t="s">
        <v>421</v>
      </c>
      <c r="D283" s="5">
        <v>42369</v>
      </c>
      <c r="E283" s="5">
        <v>42369</v>
      </c>
      <c r="G283" s="5">
        <v>43285</v>
      </c>
    </row>
    <row r="284" spans="2:7" x14ac:dyDescent="0.2">
      <c r="B284" t="str">
        <f>VLOOKUP(C284,'[1]2012-2013与2016-2018股票代码'!A:B,2,0)</f>
        <v>831395.NQ</v>
      </c>
      <c r="C284" s="4" t="s">
        <v>422</v>
      </c>
      <c r="D284" s="5">
        <v>42369</v>
      </c>
      <c r="E284" s="5">
        <v>42369</v>
      </c>
      <c r="G284" s="5">
        <v>43285</v>
      </c>
    </row>
    <row r="285" spans="2:7" x14ac:dyDescent="0.2">
      <c r="B285" t="str">
        <f>VLOOKUP(C285,'[1]2012-2013与2016-2018股票代码'!A:B,2,0)</f>
        <v>831439.NQ</v>
      </c>
      <c r="C285" s="4" t="s">
        <v>423</v>
      </c>
      <c r="D285" s="5">
        <v>42369</v>
      </c>
      <c r="E285" s="5">
        <v>42369</v>
      </c>
      <c r="G285" s="5">
        <v>43285</v>
      </c>
    </row>
    <row r="286" spans="2:7" x14ac:dyDescent="0.2">
      <c r="B286" t="str">
        <f>VLOOKUP(C286,'[1]2012-2013与2016-2018股票代码'!A:B,2,0)</f>
        <v>832566.BJ</v>
      </c>
      <c r="C286" s="4" t="s">
        <v>424</v>
      </c>
      <c r="D286" s="5">
        <v>42369</v>
      </c>
      <c r="E286" s="5">
        <v>42369</v>
      </c>
      <c r="G286" s="5">
        <v>43285</v>
      </c>
    </row>
    <row r="287" spans="2:7" x14ac:dyDescent="0.2">
      <c r="B287" t="str">
        <f>VLOOKUP(C287,'[1]2012-2013与2016-2018股票代码'!A:B,2,0)</f>
        <v>832698.NQ</v>
      </c>
      <c r="C287" s="4" t="s">
        <v>425</v>
      </c>
      <c r="D287" s="5">
        <v>42369</v>
      </c>
      <c r="E287" s="5">
        <v>42369</v>
      </c>
      <c r="G287" s="5">
        <v>43285</v>
      </c>
    </row>
    <row r="288" spans="2:7" x14ac:dyDescent="0.2">
      <c r="B288" t="str">
        <f>VLOOKUP(C288,'[1]2012-2013与2016-2018股票代码'!A:B,2,0)</f>
        <v>688588.SH</v>
      </c>
      <c r="C288" s="4" t="s">
        <v>426</v>
      </c>
      <c r="D288" s="5">
        <v>42369</v>
      </c>
      <c r="E288" s="5">
        <v>42369</v>
      </c>
      <c r="G288" s="5">
        <v>43285</v>
      </c>
    </row>
    <row r="289" spans="1:8" x14ac:dyDescent="0.2">
      <c r="B289" t="str">
        <f>VLOOKUP(C289,'[1]2012-2013与2016-2018股票代码'!A:B,2,0)</f>
        <v>831455.NQ</v>
      </c>
      <c r="C289" s="4" t="s">
        <v>427</v>
      </c>
      <c r="D289" s="5">
        <v>42369</v>
      </c>
      <c r="E289" s="5">
        <v>42369</v>
      </c>
      <c r="G289" s="5">
        <v>43285</v>
      </c>
    </row>
    <row r="290" spans="1:8" x14ac:dyDescent="0.2">
      <c r="B290" t="str">
        <f>VLOOKUP(C290,'[1]2012-2013与2016-2018股票代码'!A:B,2,0)</f>
        <v>831662.NQ</v>
      </c>
      <c r="C290" s="4" t="s">
        <v>428</v>
      </c>
      <c r="D290" s="5">
        <v>42369</v>
      </c>
      <c r="E290" s="5">
        <v>42369</v>
      </c>
      <c r="G290" s="5">
        <v>43285</v>
      </c>
    </row>
    <row r="291" spans="1:8" x14ac:dyDescent="0.2">
      <c r="B291" t="str">
        <f>VLOOKUP(C291,'[1]2012-2013与2016-2018股票代码'!A:B,2,0)</f>
        <v>430130.NQ</v>
      </c>
      <c r="C291" s="4" t="s">
        <v>429</v>
      </c>
      <c r="D291" s="5">
        <v>42369</v>
      </c>
      <c r="E291" s="5">
        <v>42369</v>
      </c>
      <c r="G291" s="5">
        <v>43285</v>
      </c>
    </row>
    <row r="292" spans="1:8" x14ac:dyDescent="0.2">
      <c r="B292" t="str">
        <f>VLOOKUP(C292,'[1]2012-2013与2016-2018股票代码'!A:B,2,0)</f>
        <v>832041.NQ</v>
      </c>
      <c r="C292" s="4" t="s">
        <v>430</v>
      </c>
      <c r="D292" s="5">
        <v>42369</v>
      </c>
      <c r="E292" s="5">
        <v>42369</v>
      </c>
      <c r="G292" s="5">
        <v>43285</v>
      </c>
    </row>
    <row r="293" spans="1:8" x14ac:dyDescent="0.2">
      <c r="A293">
        <v>201847</v>
      </c>
      <c r="B293" t="str">
        <f>VLOOKUP(C293,'[1]2012-2013与2016-2018股票代码'!A:B,2,0)</f>
        <v>002349.SZ</v>
      </c>
      <c r="C293" s="4" t="s">
        <v>431</v>
      </c>
      <c r="D293" s="5">
        <v>42016</v>
      </c>
      <c r="E293" s="5">
        <v>42059</v>
      </c>
      <c r="F293" t="s">
        <v>432</v>
      </c>
      <c r="G293" s="5">
        <v>43284</v>
      </c>
      <c r="H293" t="s">
        <v>405</v>
      </c>
    </row>
    <row r="294" spans="1:8" x14ac:dyDescent="0.2">
      <c r="B294" t="str">
        <f>VLOOKUP(C294,'[1]2012-2013与2016-2018股票代码'!A:B,2,0)</f>
        <v>002349.SZ</v>
      </c>
      <c r="C294" s="4" t="s">
        <v>431</v>
      </c>
      <c r="D294" s="5">
        <v>42149</v>
      </c>
      <c r="E294" s="5">
        <v>42171</v>
      </c>
      <c r="G294" s="5">
        <v>43284</v>
      </c>
    </row>
    <row r="295" spans="1:8" x14ac:dyDescent="0.2">
      <c r="A295">
        <v>201842</v>
      </c>
      <c r="B295" t="str">
        <f>VLOOKUP(C295,'[1]2012-2013与2016-2018股票代码'!A:B,2,0)</f>
        <v>002760.SZ</v>
      </c>
      <c r="C295" s="4" t="s">
        <v>74</v>
      </c>
      <c r="D295" s="5">
        <v>42380</v>
      </c>
      <c r="E295" s="5">
        <v>42405</v>
      </c>
      <c r="F295" t="s">
        <v>433</v>
      </c>
      <c r="G295" s="5">
        <v>43249</v>
      </c>
    </row>
    <row r="296" spans="1:8" x14ac:dyDescent="0.2">
      <c r="A296">
        <v>201836</v>
      </c>
      <c r="B296" t="str">
        <f>VLOOKUP(C296,'[1]2012-2013与2016-2018股票代码'!A:B,2,0)</f>
        <v>300376.SZ</v>
      </c>
      <c r="C296" s="4" t="s">
        <v>434</v>
      </c>
      <c r="D296" s="5">
        <v>42705</v>
      </c>
      <c r="E296" s="5">
        <v>42705</v>
      </c>
      <c r="F296" s="4" t="s">
        <v>435</v>
      </c>
      <c r="G296" s="5">
        <v>43244</v>
      </c>
      <c r="H296" t="s">
        <v>12</v>
      </c>
    </row>
    <row r="297" spans="1:8" x14ac:dyDescent="0.2">
      <c r="B297" t="str">
        <f>VLOOKUP(C297,'[1]2012-2013与2016-2018股票代码'!A:B,2,0)</f>
        <v>300376.SZ</v>
      </c>
      <c r="C297" s="4" t="s">
        <v>434</v>
      </c>
      <c r="D297" s="5">
        <v>42709</v>
      </c>
      <c r="E297" s="5">
        <v>42709</v>
      </c>
      <c r="G297" s="5">
        <v>43244</v>
      </c>
    </row>
    <row r="298" spans="1:8" x14ac:dyDescent="0.2">
      <c r="A298">
        <v>201830</v>
      </c>
      <c r="B298" t="str">
        <f>VLOOKUP(C298,'[1]2012-2013与2016-2018股票代码'!A:B,2,0)</f>
        <v>601016.SH</v>
      </c>
      <c r="C298" s="4" t="s">
        <v>436</v>
      </c>
      <c r="D298" s="5">
        <v>42181</v>
      </c>
      <c r="E298" s="5">
        <v>42184</v>
      </c>
      <c r="F298" t="s">
        <v>437</v>
      </c>
      <c r="G298" s="5">
        <v>43201</v>
      </c>
      <c r="H298" t="s">
        <v>12</v>
      </c>
    </row>
    <row r="299" spans="1:8" x14ac:dyDescent="0.2">
      <c r="B299" t="str">
        <f>VLOOKUP(C299,'[1]2012-2013与2016-2018股票代码'!A:B,2,0)</f>
        <v>601016.SH</v>
      </c>
      <c r="C299" s="4" t="s">
        <v>436</v>
      </c>
      <c r="D299" s="5">
        <v>42242</v>
      </c>
      <c r="E299" s="5">
        <v>42244</v>
      </c>
      <c r="G299" s="5">
        <v>43201</v>
      </c>
    </row>
    <row r="300" spans="1:8" x14ac:dyDescent="0.2">
      <c r="B300" t="str">
        <f>VLOOKUP(C300,'[1]2012-2013与2016-2018股票代码'!A:B,2,0)</f>
        <v>002839.SZ</v>
      </c>
      <c r="C300" t="s">
        <v>438</v>
      </c>
      <c r="D300" s="5">
        <v>42776</v>
      </c>
      <c r="E300" s="5">
        <v>42837</v>
      </c>
      <c r="F300" s="4" t="s">
        <v>439</v>
      </c>
      <c r="G300" s="5">
        <v>43199</v>
      </c>
    </row>
    <row r="301" spans="1:8" x14ac:dyDescent="0.2">
      <c r="B301" t="str">
        <f>VLOOKUP(C301,'[1]2012-2013与2016-2018股票代码'!A:B,2,0)</f>
        <v>002824.SZ</v>
      </c>
      <c r="C301" s="4" t="s">
        <v>440</v>
      </c>
      <c r="D301" s="5">
        <v>42773</v>
      </c>
      <c r="E301" s="5">
        <v>42783</v>
      </c>
      <c r="F301" s="4" t="s">
        <v>441</v>
      </c>
      <c r="G301" s="5">
        <v>43199</v>
      </c>
    </row>
    <row r="302" spans="1:8" x14ac:dyDescent="0.2">
      <c r="B302" t="str">
        <f>VLOOKUP(C302,'[1]2012-2013与2016-2018股票代码'!A:B,2,0)</f>
        <v>002807.SZ</v>
      </c>
      <c r="C302" s="4" t="s">
        <v>442</v>
      </c>
      <c r="D302" s="5">
        <v>42776</v>
      </c>
      <c r="E302" s="5">
        <v>42864</v>
      </c>
      <c r="F302" s="4" t="s">
        <v>443</v>
      </c>
      <c r="G302" s="5">
        <v>43199</v>
      </c>
    </row>
    <row r="303" spans="1:8" x14ac:dyDescent="0.2">
      <c r="A303">
        <v>201829</v>
      </c>
      <c r="B303" t="str">
        <f>VLOOKUP(C303,'[1]2012-2013与2016-2018股票代码'!A:B,2,0)</f>
        <v>002807.SZ</v>
      </c>
      <c r="C303" s="4" t="s">
        <v>442</v>
      </c>
      <c r="D303" s="5">
        <v>42776</v>
      </c>
      <c r="E303" s="5">
        <v>42864</v>
      </c>
      <c r="F303" s="4" t="s">
        <v>443</v>
      </c>
      <c r="G303" s="5">
        <v>43199</v>
      </c>
      <c r="H303" t="s">
        <v>444</v>
      </c>
    </row>
    <row r="304" spans="1:8" x14ac:dyDescent="0.2">
      <c r="A304">
        <v>201828</v>
      </c>
      <c r="B304" t="str">
        <f>VLOOKUP(C304,'[1]2012-2013与2016-2018股票代码'!A:B,2,0)</f>
        <v>002824.SZ</v>
      </c>
      <c r="C304" s="4" t="s">
        <v>440</v>
      </c>
      <c r="D304" s="5">
        <v>42773</v>
      </c>
      <c r="E304" s="5">
        <v>42783</v>
      </c>
      <c r="F304" s="4" t="s">
        <v>441</v>
      </c>
      <c r="G304" s="5">
        <v>43199</v>
      </c>
      <c r="H304" t="s">
        <v>444</v>
      </c>
    </row>
    <row r="305" spans="1:8" x14ac:dyDescent="0.2">
      <c r="A305">
        <v>201827</v>
      </c>
      <c r="B305" t="str">
        <f>VLOOKUP(C305,'[1]2012-2013与2016-2018股票代码'!A:B,2,0)</f>
        <v>002839.SZ</v>
      </c>
      <c r="C305" t="s">
        <v>438</v>
      </c>
      <c r="D305" s="5">
        <v>42776</v>
      </c>
      <c r="E305" s="5">
        <v>42837</v>
      </c>
      <c r="G305" s="5">
        <v>43199</v>
      </c>
      <c r="H305" t="s">
        <v>444</v>
      </c>
    </row>
    <row r="306" spans="1:8" x14ac:dyDescent="0.2">
      <c r="A306">
        <v>201825</v>
      </c>
      <c r="B306" t="str">
        <f>VLOOKUP(C306,'[1]2012-2013与2016-2018股票代码'!A:B,2,0)</f>
        <v>831882.NQ</v>
      </c>
      <c r="C306" s="4" t="s">
        <v>445</v>
      </c>
      <c r="D306" s="5">
        <v>42185</v>
      </c>
      <c r="E306" s="5">
        <v>42206</v>
      </c>
      <c r="F306" s="4" t="s">
        <v>446</v>
      </c>
      <c r="G306" s="5">
        <v>43193</v>
      </c>
    </row>
    <row r="307" spans="1:8" x14ac:dyDescent="0.2">
      <c r="B307" t="str">
        <f>VLOOKUP(C307,'[1]2012-2013与2016-2018股票代码'!A:B,2,0)</f>
        <v>831882.NQ</v>
      </c>
      <c r="C307" s="4" t="s">
        <v>445</v>
      </c>
      <c r="D307" s="5">
        <v>42300</v>
      </c>
      <c r="E307" s="5">
        <v>42331</v>
      </c>
      <c r="F307" s="4" t="s">
        <v>447</v>
      </c>
      <c r="G307" s="5">
        <v>43193</v>
      </c>
    </row>
    <row r="308" spans="1:8" x14ac:dyDescent="0.2">
      <c r="A308">
        <v>201823</v>
      </c>
      <c r="B308" t="str">
        <f>VLOOKUP(C308,'[1]2012-2013与2016-2018股票代码'!A:B,2,0)</f>
        <v>832043.NQ</v>
      </c>
      <c r="C308" s="4" t="s">
        <v>448</v>
      </c>
      <c r="D308" s="5">
        <v>42339</v>
      </c>
      <c r="E308" s="5">
        <v>42460</v>
      </c>
      <c r="F308" s="4" t="s">
        <v>449</v>
      </c>
      <c r="G308" s="5">
        <v>43193</v>
      </c>
    </row>
    <row r="309" spans="1:8" x14ac:dyDescent="0.2">
      <c r="B309" t="str">
        <f>VLOOKUP(C309,'[1]2012-2013与2016-2018股票代码'!A:B,2,0)</f>
        <v>600141.SH</v>
      </c>
      <c r="C309" t="s">
        <v>450</v>
      </c>
      <c r="D309" s="7">
        <v>42083</v>
      </c>
      <c r="E309" s="7">
        <v>42083</v>
      </c>
      <c r="G309" s="5">
        <v>43193</v>
      </c>
    </row>
    <row r="310" spans="1:8" x14ac:dyDescent="0.2">
      <c r="B310" t="str">
        <f>VLOOKUP(C310,'[1]2012-2013与2016-2018股票代码'!A:B,2,0)</f>
        <v>000881.SZ</v>
      </c>
      <c r="C310" s="4" t="s">
        <v>451</v>
      </c>
      <c r="D310" s="5">
        <v>42107</v>
      </c>
      <c r="E310" s="5">
        <v>42107</v>
      </c>
      <c r="G310" s="5">
        <v>43193</v>
      </c>
    </row>
    <row r="311" spans="1:8" x14ac:dyDescent="0.2">
      <c r="B311" t="str">
        <f>VLOOKUP(C311,'[1]2012-2013与2016-2018股票代码'!A:B,2,0)</f>
        <v>002573.SZ</v>
      </c>
      <c r="C311" t="s">
        <v>452</v>
      </c>
      <c r="D311" s="5">
        <v>42138</v>
      </c>
      <c r="E311" s="5">
        <v>42138</v>
      </c>
      <c r="G311" s="5">
        <v>43193</v>
      </c>
    </row>
    <row r="312" spans="1:8" x14ac:dyDescent="0.2">
      <c r="B312" t="str">
        <f>VLOOKUP(C312,'[1]2012-2013与2016-2018股票代码'!A:B,2,0)</f>
        <v>002580.SZ</v>
      </c>
      <c r="C312" s="4" t="s">
        <v>453</v>
      </c>
      <c r="D312" s="5">
        <v>42142</v>
      </c>
      <c r="E312" s="5">
        <v>42142</v>
      </c>
      <c r="G312" s="5">
        <v>43193</v>
      </c>
    </row>
    <row r="313" spans="1:8" x14ac:dyDescent="0.2">
      <c r="B313" t="str">
        <f>VLOOKUP(C313,'[1]2012-2013与2016-2018股票代码'!A:B,2,0)</f>
        <v>600218.SH</v>
      </c>
      <c r="C313" s="4" t="s">
        <v>140</v>
      </c>
      <c r="D313" s="5">
        <v>42143</v>
      </c>
      <c r="E313" s="5">
        <v>42143</v>
      </c>
      <c r="G313" s="5">
        <v>43193</v>
      </c>
    </row>
    <row r="314" spans="1:8" x14ac:dyDescent="0.2">
      <c r="B314" t="str">
        <f>VLOOKUP(C314,'[1]2012-2013与2016-2018股票代码'!A:B,2,0)</f>
        <v>000570.SZ</v>
      </c>
      <c r="C314" s="4" t="s">
        <v>454</v>
      </c>
      <c r="D314" s="5">
        <v>42143</v>
      </c>
      <c r="E314" s="5">
        <v>42143</v>
      </c>
      <c r="G314" s="5">
        <v>43193</v>
      </c>
    </row>
    <row r="315" spans="1:8" x14ac:dyDescent="0.2">
      <c r="B315" t="str">
        <f>VLOOKUP(C315,'[1]2012-2013与2016-2018股票代码'!A:B,2,0)</f>
        <v>600509.SH</v>
      </c>
      <c r="C315" s="4" t="s">
        <v>455</v>
      </c>
      <c r="D315" s="5">
        <v>42146</v>
      </c>
      <c r="E315" s="5">
        <v>42146</v>
      </c>
      <c r="G315" s="5">
        <v>43193</v>
      </c>
    </row>
    <row r="316" spans="1:8" x14ac:dyDescent="0.2">
      <c r="B316" t="str">
        <f>VLOOKUP(C316,'[1]2012-2013与2016-2018股票代码'!A:B,2,0)</f>
        <v>000617.SZ</v>
      </c>
      <c r="C316" s="4" t="s">
        <v>456</v>
      </c>
      <c r="D316" s="5">
        <v>42151</v>
      </c>
      <c r="E316" s="5">
        <v>42151</v>
      </c>
      <c r="G316" s="5">
        <v>43193</v>
      </c>
    </row>
    <row r="317" spans="1:8" x14ac:dyDescent="0.2">
      <c r="B317" t="str">
        <f>VLOOKUP(C317,'[1]2012-2013与2016-2018股票代码'!A:B,2,0)</f>
        <v>000514.SZ</v>
      </c>
      <c r="C317" s="4" t="s">
        <v>457</v>
      </c>
      <c r="D317" s="5">
        <v>42157</v>
      </c>
      <c r="E317" s="5">
        <v>42157</v>
      </c>
      <c r="G317" s="5">
        <v>43193</v>
      </c>
    </row>
    <row r="318" spans="1:8" x14ac:dyDescent="0.2">
      <c r="B318" t="str">
        <f>VLOOKUP(C318,'[1]2012-2013与2016-2018股票代码'!A:B,2,0)</f>
        <v>600624.SH</v>
      </c>
      <c r="C318" s="4" t="s">
        <v>458</v>
      </c>
      <c r="D318" s="5">
        <v>42163</v>
      </c>
      <c r="E318" s="5">
        <v>42163</v>
      </c>
      <c r="G318" s="5">
        <v>43193</v>
      </c>
    </row>
    <row r="319" spans="1:8" x14ac:dyDescent="0.2">
      <c r="B319" t="str">
        <f>VLOOKUP(C319,'[1]2012-2013与2016-2018股票代码'!A:B,2,0)</f>
        <v>002311.SZ</v>
      </c>
      <c r="C319" s="4" t="s">
        <v>459</v>
      </c>
      <c r="D319" s="5">
        <v>42167</v>
      </c>
      <c r="E319" s="5">
        <v>42167</v>
      </c>
      <c r="G319" s="5">
        <v>43193</v>
      </c>
    </row>
    <row r="320" spans="1:8" x14ac:dyDescent="0.2">
      <c r="B320" t="str">
        <f>VLOOKUP(C320,'[1]2012-2013与2016-2018股票代码'!A:B,2,0)</f>
        <v>601233.SH</v>
      </c>
      <c r="C320" s="4" t="s">
        <v>460</v>
      </c>
      <c r="D320" s="5">
        <v>42212</v>
      </c>
      <c r="E320" s="5">
        <v>42212</v>
      </c>
      <c r="G320" s="5">
        <v>43193</v>
      </c>
    </row>
    <row r="321" spans="2:8" x14ac:dyDescent="0.2">
      <c r="B321" t="str">
        <f>VLOOKUP(C321,'[1]2012-2013与2016-2018股票代码'!A:B,2,0)</f>
        <v>000682.SZ</v>
      </c>
      <c r="C321" s="4" t="s">
        <v>461</v>
      </c>
      <c r="D321" s="5">
        <v>42230</v>
      </c>
      <c r="E321" s="5">
        <v>42230</v>
      </c>
      <c r="G321" s="5">
        <v>43193</v>
      </c>
    </row>
    <row r="322" spans="2:8" x14ac:dyDescent="0.2">
      <c r="B322" t="str">
        <f>VLOOKUP(C322,'[1]2012-2013与2016-2018股票代码'!A:B,2,0)</f>
        <v>002165.SZ</v>
      </c>
      <c r="C322" s="4" t="s">
        <v>462</v>
      </c>
      <c r="D322" s="5">
        <v>42230</v>
      </c>
      <c r="E322" s="5">
        <v>42230</v>
      </c>
      <c r="G322" s="5">
        <v>43193</v>
      </c>
    </row>
    <row r="323" spans="2:8" x14ac:dyDescent="0.2">
      <c r="B323" t="str">
        <f>VLOOKUP(C323,'[1]2012-2013与2016-2018股票代码'!A:B,2,0)</f>
        <v>300193.SZ</v>
      </c>
      <c r="C323" s="4" t="s">
        <v>463</v>
      </c>
      <c r="D323" s="5">
        <v>42243</v>
      </c>
      <c r="E323" s="5">
        <v>42244</v>
      </c>
      <c r="G323" s="5">
        <v>43193</v>
      </c>
      <c r="H323" t="s">
        <v>405</v>
      </c>
    </row>
    <row r="324" spans="2:8" x14ac:dyDescent="0.2">
      <c r="B324" t="str">
        <f>VLOOKUP(C324,'[1]2012-2013与2016-2018股票代码'!A:B,2,0)</f>
        <v>000938.SZ</v>
      </c>
      <c r="C324" s="4" t="s">
        <v>464</v>
      </c>
      <c r="D324" s="5">
        <v>42249</v>
      </c>
      <c r="E324" s="5">
        <v>42249</v>
      </c>
      <c r="F324" s="4" t="s">
        <v>465</v>
      </c>
      <c r="G324" s="5">
        <v>43193</v>
      </c>
    </row>
    <row r="325" spans="2:8" x14ac:dyDescent="0.2">
      <c r="B325" t="str">
        <f>VLOOKUP(C325,'[1]2012-2013与2016-2018股票代码'!A:B,2,0)</f>
        <v>000938.SZ</v>
      </c>
      <c r="C325" s="4" t="s">
        <v>464</v>
      </c>
      <c r="D325" s="5">
        <v>42254</v>
      </c>
      <c r="E325" s="5">
        <v>42254</v>
      </c>
      <c r="G325" s="5">
        <v>43193</v>
      </c>
    </row>
    <row r="326" spans="2:8" x14ac:dyDescent="0.2">
      <c r="B326" t="str">
        <f>VLOOKUP(C326,'[1]2012-2013与2016-2018股票代码'!A:B,2,0)</f>
        <v>300193.SZ</v>
      </c>
      <c r="C326" s="4" t="s">
        <v>463</v>
      </c>
      <c r="D326" s="5">
        <v>42249</v>
      </c>
      <c r="E326" s="5">
        <v>42249</v>
      </c>
      <c r="G326" s="5">
        <v>43193</v>
      </c>
    </row>
    <row r="327" spans="2:8" x14ac:dyDescent="0.2">
      <c r="B327" t="str">
        <f>VLOOKUP(C327,'[1]2012-2013与2016-2018股票代码'!A:B,2,0)</f>
        <v>300193.SZ</v>
      </c>
      <c r="C327" s="4" t="s">
        <v>463</v>
      </c>
      <c r="D327" s="5">
        <v>42254</v>
      </c>
      <c r="E327" s="5">
        <v>42255</v>
      </c>
      <c r="G327" s="5">
        <v>43193</v>
      </c>
    </row>
    <row r="328" spans="2:8" x14ac:dyDescent="0.2">
      <c r="B328" t="str">
        <f>VLOOKUP(C328,'[1]2012-2013与2016-2018股票代码'!A:B,2,0)</f>
        <v>300086.SZ</v>
      </c>
      <c r="C328" s="4" t="s">
        <v>466</v>
      </c>
      <c r="D328" s="5">
        <v>42255</v>
      </c>
      <c r="E328" s="5">
        <v>42255</v>
      </c>
      <c r="G328" s="5">
        <v>43193</v>
      </c>
      <c r="H328" t="s">
        <v>405</v>
      </c>
    </row>
    <row r="329" spans="2:8" x14ac:dyDescent="0.2">
      <c r="B329" t="str">
        <f>VLOOKUP(C329,'[1]2012-2013与2016-2018股票代码'!A:B,2,0)</f>
        <v>300086.SZ</v>
      </c>
      <c r="C329" s="4" t="s">
        <v>466</v>
      </c>
      <c r="D329" s="5">
        <v>42262</v>
      </c>
      <c r="E329" s="5">
        <v>42262</v>
      </c>
      <c r="G329" s="5">
        <v>43193</v>
      </c>
    </row>
    <row r="330" spans="2:8" x14ac:dyDescent="0.2">
      <c r="B330" t="str">
        <f>VLOOKUP(C330,'[1]2012-2013与2016-2018股票代码'!A:B,2,0)</f>
        <v>300165.SZ</v>
      </c>
      <c r="C330" s="4" t="s">
        <v>467</v>
      </c>
      <c r="D330" s="7">
        <v>42262</v>
      </c>
      <c r="E330" s="7">
        <v>42263</v>
      </c>
      <c r="G330" s="5">
        <v>43193</v>
      </c>
    </row>
    <row r="331" spans="2:8" x14ac:dyDescent="0.2">
      <c r="B331" t="str">
        <f>VLOOKUP(C331,'[1]2012-2013与2016-2018股票代码'!A:B,2,0)</f>
        <v>002642.SZ</v>
      </c>
      <c r="C331" s="4" t="s">
        <v>468</v>
      </c>
      <c r="D331" s="5">
        <v>42264</v>
      </c>
      <c r="E331" s="5">
        <v>42264</v>
      </c>
      <c r="G331" s="5">
        <v>43193</v>
      </c>
    </row>
    <row r="332" spans="2:8" x14ac:dyDescent="0.2">
      <c r="B332" t="str">
        <f>VLOOKUP(C332,'[1]2012-2013与2016-2018股票代码'!A:B,2,0)</f>
        <v>300307.SZ</v>
      </c>
      <c r="C332" s="4" t="s">
        <v>469</v>
      </c>
      <c r="D332" s="5">
        <v>42269</v>
      </c>
      <c r="E332" s="5">
        <v>42269</v>
      </c>
      <c r="G332" s="5">
        <v>43193</v>
      </c>
    </row>
    <row r="333" spans="2:8" x14ac:dyDescent="0.2">
      <c r="B333" t="str">
        <f>VLOOKUP(C333,'[1]2012-2013与2016-2018股票代码'!A:B,2,0)</f>
        <v>300256.SZ</v>
      </c>
      <c r="C333" s="4" t="s">
        <v>470</v>
      </c>
      <c r="D333" s="5">
        <v>42272</v>
      </c>
      <c r="E333" s="5">
        <v>42272</v>
      </c>
      <c r="G333" s="5">
        <v>43193</v>
      </c>
    </row>
    <row r="334" spans="2:8" x14ac:dyDescent="0.2">
      <c r="B334" t="str">
        <f>VLOOKUP(C334,'[1]2012-2013与2016-2018股票代码'!A:B,2,0)</f>
        <v>002144.SZ</v>
      </c>
      <c r="C334" s="4" t="s">
        <v>471</v>
      </c>
      <c r="D334" s="5">
        <v>42275</v>
      </c>
      <c r="E334" s="5">
        <v>42275</v>
      </c>
      <c r="G334" s="5">
        <v>43193</v>
      </c>
    </row>
    <row r="335" spans="2:8" x14ac:dyDescent="0.2">
      <c r="B335" t="str">
        <f>VLOOKUP(C335,'[1]2012-2013与2016-2018股票代码'!A:B,2,0)</f>
        <v>002585.SZ</v>
      </c>
      <c r="C335" s="4" t="s">
        <v>472</v>
      </c>
      <c r="D335" s="5">
        <v>42289</v>
      </c>
      <c r="E335" s="5">
        <v>42289</v>
      </c>
      <c r="G335" s="5">
        <v>43193</v>
      </c>
    </row>
    <row r="336" spans="2:8" x14ac:dyDescent="0.2">
      <c r="B336" t="str">
        <f>VLOOKUP(C336,'[1]2012-2013与2016-2018股票代码'!A:B,2,0)</f>
        <v>002042.SZ</v>
      </c>
      <c r="C336" s="4" t="s">
        <v>473</v>
      </c>
      <c r="D336" s="5">
        <v>42296</v>
      </c>
      <c r="E336" s="5">
        <v>42296</v>
      </c>
      <c r="G336" s="5">
        <v>43193</v>
      </c>
    </row>
    <row r="337" spans="2:7" x14ac:dyDescent="0.2">
      <c r="B337" t="str">
        <f>VLOOKUP(C337,'[1]2012-2013与2016-2018股票代码'!A:B,2,0)</f>
        <v>002048.SZ</v>
      </c>
      <c r="C337" s="4" t="s">
        <v>474</v>
      </c>
      <c r="D337" s="5">
        <v>42296</v>
      </c>
      <c r="E337" s="5">
        <v>42296</v>
      </c>
      <c r="G337" s="5">
        <v>43193</v>
      </c>
    </row>
    <row r="338" spans="2:7" x14ac:dyDescent="0.2">
      <c r="B338" t="str">
        <f>VLOOKUP(C338,'[1]2012-2013与2016-2018股票代码'!A:B,2,0)</f>
        <v>002440.SZ</v>
      </c>
      <c r="C338" s="4" t="s">
        <v>475</v>
      </c>
      <c r="D338" s="5">
        <v>42298</v>
      </c>
      <c r="E338" s="5">
        <v>42298</v>
      </c>
      <c r="G338" s="5">
        <v>43193</v>
      </c>
    </row>
    <row r="339" spans="2:7" x14ac:dyDescent="0.2">
      <c r="B339" t="str">
        <f>VLOOKUP(C339,'[1]2012-2013与2016-2018股票代码'!A:B,2,0)</f>
        <v>002391.SZ</v>
      </c>
      <c r="C339" s="4" t="s">
        <v>476</v>
      </c>
      <c r="D339" s="5">
        <v>42303</v>
      </c>
      <c r="E339" s="5">
        <v>42303</v>
      </c>
      <c r="G339" s="5">
        <v>43193</v>
      </c>
    </row>
    <row r="340" spans="2:7" x14ac:dyDescent="0.2">
      <c r="B340" t="str">
        <f>VLOOKUP(C340,'[1]2012-2013与2016-2018股票代码'!A:B,2,0)</f>
        <v>002541.SZ</v>
      </c>
      <c r="C340" s="4" t="s">
        <v>477</v>
      </c>
      <c r="D340" s="5">
        <v>42303</v>
      </c>
      <c r="E340" s="5">
        <v>42303</v>
      </c>
      <c r="G340" s="5">
        <v>43193</v>
      </c>
    </row>
    <row r="341" spans="2:7" x14ac:dyDescent="0.2">
      <c r="B341" t="str">
        <f>VLOOKUP(C341,'[1]2012-2013与2016-2018股票代码'!A:B,2,0)</f>
        <v>601166.SH</v>
      </c>
      <c r="C341" s="4" t="s">
        <v>478</v>
      </c>
      <c r="D341" s="5">
        <v>42304</v>
      </c>
      <c r="E341" s="5">
        <v>42304</v>
      </c>
      <c r="G341" s="5">
        <v>43193</v>
      </c>
    </row>
    <row r="342" spans="2:7" x14ac:dyDescent="0.2">
      <c r="B342" t="str">
        <f>VLOOKUP(C342,'[1]2012-2013与2016-2018股票代码'!A:B,2,0)</f>
        <v>300117.SZ</v>
      </c>
      <c r="C342" s="4" t="s">
        <v>479</v>
      </c>
      <c r="D342" s="5">
        <v>42314</v>
      </c>
      <c r="E342" s="5">
        <v>42314</v>
      </c>
      <c r="G342" s="5">
        <v>43193</v>
      </c>
    </row>
    <row r="343" spans="2:7" x14ac:dyDescent="0.2">
      <c r="B343" t="str">
        <f>VLOOKUP(C343,'[1]2012-2013与2016-2018股票代码'!A:B,2,0)</f>
        <v>601999.SH</v>
      </c>
      <c r="C343" s="4" t="s">
        <v>480</v>
      </c>
      <c r="D343" s="5">
        <v>42320</v>
      </c>
      <c r="E343" s="5">
        <v>42320</v>
      </c>
      <c r="G343" s="5">
        <v>43193</v>
      </c>
    </row>
    <row r="344" spans="2:7" x14ac:dyDescent="0.2">
      <c r="B344" t="str">
        <f>VLOOKUP(C344,'[1]2012-2013与2016-2018股票代码'!A:B,2,0)</f>
        <v>600470.SH</v>
      </c>
      <c r="C344" s="4" t="s">
        <v>481</v>
      </c>
      <c r="D344" s="5">
        <v>42321</v>
      </c>
      <c r="E344" s="5">
        <v>42321</v>
      </c>
      <c r="G344" s="5">
        <v>43193</v>
      </c>
    </row>
    <row r="345" spans="2:7" x14ac:dyDescent="0.2">
      <c r="B345" t="str">
        <f>VLOOKUP(C345,'[1]2012-2013与2016-2018股票代码'!A:B,2,0)</f>
        <v>002532.SZ</v>
      </c>
      <c r="C345" s="4" t="s">
        <v>482</v>
      </c>
      <c r="D345" s="5">
        <v>42324</v>
      </c>
      <c r="E345" s="5">
        <v>42324</v>
      </c>
      <c r="G345" s="5">
        <v>43193</v>
      </c>
    </row>
    <row r="346" spans="2:7" x14ac:dyDescent="0.2">
      <c r="B346" t="str">
        <f>VLOOKUP(C346,'[1]2012-2013与2016-2018股票代码'!A:B,2,0)</f>
        <v>600483.SH</v>
      </c>
      <c r="C346" s="4" t="s">
        <v>483</v>
      </c>
      <c r="D346" s="5">
        <v>42325</v>
      </c>
      <c r="E346" s="5">
        <v>42325</v>
      </c>
      <c r="G346" s="5">
        <v>43193</v>
      </c>
    </row>
    <row r="347" spans="2:7" x14ac:dyDescent="0.2">
      <c r="B347" t="str">
        <f>VLOOKUP(C347,'[1]2012-2013与2016-2018股票代码'!A:B,2,0)</f>
        <v>600529.SH</v>
      </c>
      <c r="C347" s="4" t="s">
        <v>484</v>
      </c>
      <c r="D347" s="5">
        <v>42325</v>
      </c>
      <c r="E347" s="5">
        <v>42325</v>
      </c>
      <c r="G347" s="5">
        <v>43193</v>
      </c>
    </row>
    <row r="348" spans="2:7" x14ac:dyDescent="0.2">
      <c r="B348" t="str">
        <f>VLOOKUP(C348,'[1]2012-2013与2016-2018股票代码'!A:B,2,0)</f>
        <v>601222.SH</v>
      </c>
      <c r="C348" s="4" t="s">
        <v>485</v>
      </c>
      <c r="D348" s="5">
        <v>42328</v>
      </c>
      <c r="E348" s="5">
        <v>42328</v>
      </c>
      <c r="G348" s="5">
        <v>43193</v>
      </c>
    </row>
    <row r="349" spans="2:7" x14ac:dyDescent="0.2">
      <c r="B349" t="str">
        <f>VLOOKUP(C349,'[1]2012-2013与2016-2018股票代码'!A:B,2,0)</f>
        <v>600469.SH</v>
      </c>
      <c r="C349" s="4" t="s">
        <v>486</v>
      </c>
      <c r="D349" s="5">
        <v>42331</v>
      </c>
      <c r="E349" s="5">
        <v>42331</v>
      </c>
      <c r="G349" s="5">
        <v>43193</v>
      </c>
    </row>
    <row r="350" spans="2:7" x14ac:dyDescent="0.2">
      <c r="B350" t="str">
        <f>VLOOKUP(C350,'[1]2012-2013与2016-2018股票代码'!A:B,2,0)</f>
        <v>603100.SH</v>
      </c>
      <c r="C350" s="4" t="s">
        <v>487</v>
      </c>
      <c r="D350" s="5">
        <v>42333</v>
      </c>
      <c r="E350" s="5">
        <v>42333</v>
      </c>
      <c r="G350" s="5">
        <v>43193</v>
      </c>
    </row>
    <row r="351" spans="2:7" x14ac:dyDescent="0.2">
      <c r="B351" t="str">
        <f>VLOOKUP(C351,'[1]2012-2013与2016-2018股票代码'!A:B,2,0)</f>
        <v>002300.SZ</v>
      </c>
      <c r="C351" s="4" t="s">
        <v>488</v>
      </c>
      <c r="D351" s="5">
        <v>42334</v>
      </c>
      <c r="E351" s="5">
        <v>42334</v>
      </c>
      <c r="G351" s="5">
        <v>43193</v>
      </c>
    </row>
    <row r="352" spans="2:7" x14ac:dyDescent="0.2">
      <c r="B352" t="str">
        <f>VLOOKUP(C352,'[1]2012-2013与2016-2018股票代码'!A:B,2,0)</f>
        <v>600067.SH</v>
      </c>
      <c r="C352" s="4" t="s">
        <v>489</v>
      </c>
      <c r="D352" s="7">
        <v>42536</v>
      </c>
      <c r="E352" s="7">
        <v>42537</v>
      </c>
      <c r="G352" s="5">
        <v>43185</v>
      </c>
    </row>
    <row r="353" spans="1:7" x14ac:dyDescent="0.2">
      <c r="B353" t="str">
        <f>VLOOKUP(C353,'[1]2012-2013与2016-2018股票代码'!A:B,2,0)</f>
        <v>600295.SH</v>
      </c>
      <c r="C353" s="4" t="s">
        <v>490</v>
      </c>
      <c r="D353" s="7">
        <v>42585</v>
      </c>
      <c r="E353" s="7">
        <v>42586</v>
      </c>
      <c r="G353" s="5">
        <v>43185</v>
      </c>
    </row>
    <row r="354" spans="1:7" x14ac:dyDescent="0.2">
      <c r="B354" t="str">
        <f>VLOOKUP(C354,'[1]2012-2013与2016-2018股票代码'!A:B,2,0)</f>
        <v>000799.SZ</v>
      </c>
      <c r="C354" s="4" t="s">
        <v>491</v>
      </c>
      <c r="D354" s="5">
        <v>42524</v>
      </c>
      <c r="E354" s="7">
        <v>42527</v>
      </c>
      <c r="G354" s="5">
        <v>43185</v>
      </c>
    </row>
    <row r="355" spans="1:7" x14ac:dyDescent="0.2">
      <c r="B355" t="str">
        <f>VLOOKUP(C355,'[1]2012-2013与2016-2018股票代码'!A:B,2,0)</f>
        <v>000592.SZ</v>
      </c>
      <c r="C355" s="4" t="s">
        <v>492</v>
      </c>
      <c r="D355" s="5">
        <v>42579</v>
      </c>
      <c r="E355" s="5">
        <v>42583</v>
      </c>
      <c r="G355" s="5">
        <v>43185</v>
      </c>
    </row>
    <row r="356" spans="1:7" x14ac:dyDescent="0.2">
      <c r="B356" t="str">
        <f>VLOOKUP(C356,'[1]2012-2013与2016-2018股票代码'!A:B,2,0)</f>
        <v>000915.SZ</v>
      </c>
      <c r="C356" s="4" t="s">
        <v>493</v>
      </c>
      <c r="D356" s="5">
        <v>42562</v>
      </c>
      <c r="E356" s="5">
        <v>42563</v>
      </c>
      <c r="G356" s="5">
        <v>43185</v>
      </c>
    </row>
    <row r="357" spans="1:7" x14ac:dyDescent="0.2">
      <c r="B357" t="str">
        <f>VLOOKUP(C357,'[1]2012-2013与2016-2018股票代码'!A:B,2,0)</f>
        <v>002222.SZ</v>
      </c>
      <c r="C357" s="4" t="s">
        <v>494</v>
      </c>
      <c r="D357" s="5">
        <v>42572</v>
      </c>
      <c r="E357" s="5">
        <v>42573</v>
      </c>
      <c r="G357" s="5">
        <v>43185</v>
      </c>
    </row>
    <row r="358" spans="1:7" x14ac:dyDescent="0.2">
      <c r="A358">
        <v>201812</v>
      </c>
      <c r="B358" t="str">
        <f>VLOOKUP(C358,'[1]2012-2013与2016-2018股票代码'!A:B,2,0)</f>
        <v>002163.SZ</v>
      </c>
      <c r="C358" t="s">
        <v>495</v>
      </c>
      <c r="D358" s="5">
        <v>42069</v>
      </c>
      <c r="E358" s="5">
        <v>42075</v>
      </c>
      <c r="F358" s="4" t="s">
        <v>496</v>
      </c>
      <c r="G358" s="5">
        <v>43185</v>
      </c>
    </row>
    <row r="359" spans="1:7" x14ac:dyDescent="0.2">
      <c r="B359" t="str">
        <f>VLOOKUP(C359,'[1]2012-2013与2016-2018股票代码'!A:B,2,0)</f>
        <v>002439.SZ</v>
      </c>
      <c r="C359" t="s">
        <v>497</v>
      </c>
      <c r="D359" s="5">
        <v>42115</v>
      </c>
      <c r="E359" s="5">
        <v>42116</v>
      </c>
      <c r="G359" s="5">
        <v>43185</v>
      </c>
    </row>
    <row r="360" spans="1:7" x14ac:dyDescent="0.2">
      <c r="B360" t="str">
        <f>VLOOKUP(C360,'[1]2012-2013与2016-2018股票代码'!A:B,2,0)</f>
        <v>300137.SZ</v>
      </c>
      <c r="C360" s="4" t="s">
        <v>498</v>
      </c>
      <c r="D360" s="5">
        <v>42173</v>
      </c>
      <c r="E360" s="5">
        <v>42174</v>
      </c>
      <c r="G360" s="5">
        <v>43185</v>
      </c>
    </row>
    <row r="361" spans="1:7" x14ac:dyDescent="0.2">
      <c r="B361" t="str">
        <f>VLOOKUP(C361,'[1]2012-2013与2016-2018股票代码'!A:B,2,0)</f>
        <v>300178.SZ</v>
      </c>
      <c r="C361" s="4" t="s">
        <v>499</v>
      </c>
      <c r="D361" s="5">
        <v>42227</v>
      </c>
      <c r="E361" s="5">
        <v>42228</v>
      </c>
      <c r="G361" s="5">
        <v>43185</v>
      </c>
    </row>
    <row r="362" spans="1:7" x14ac:dyDescent="0.2">
      <c r="B362" t="str">
        <f>VLOOKUP(C362,'[1]2012-2013与2016-2018股票代码'!A:B,2,0)</f>
        <v>002362.SZ</v>
      </c>
      <c r="C362" s="4" t="s">
        <v>500</v>
      </c>
      <c r="D362" s="5">
        <v>42298</v>
      </c>
      <c r="E362" s="5">
        <v>42299</v>
      </c>
      <c r="G362" s="5">
        <v>43185</v>
      </c>
    </row>
    <row r="363" spans="1:7" x14ac:dyDescent="0.2">
      <c r="B363" t="str">
        <f>VLOOKUP(C363,'[1]2012-2013与2016-2018股票代码'!A:B,2,0)</f>
        <v>000009.SZ</v>
      </c>
      <c r="C363" s="4" t="s">
        <v>501</v>
      </c>
      <c r="D363" s="5">
        <v>42300</v>
      </c>
      <c r="E363" s="5">
        <v>42303</v>
      </c>
      <c r="G363" s="5">
        <v>43185</v>
      </c>
    </row>
    <row r="364" spans="1:7" x14ac:dyDescent="0.2">
      <c r="B364" t="str">
        <f>VLOOKUP(C364,'[1]2012-2013与2016-2018股票代码'!A:B,2,0)</f>
        <v>002070.SZ</v>
      </c>
      <c r="C364" s="4" t="s">
        <v>502</v>
      </c>
      <c r="D364" s="5">
        <v>42223</v>
      </c>
      <c r="E364" s="5">
        <v>42223</v>
      </c>
      <c r="G364" s="5">
        <v>43185</v>
      </c>
    </row>
    <row r="365" spans="1:7" x14ac:dyDescent="0.2">
      <c r="B365" t="str">
        <f>VLOOKUP(C365,'[1]2012-2013与2016-2018股票代码'!A:B,2,0)</f>
        <v>000938.SZ</v>
      </c>
      <c r="C365" s="4" t="s">
        <v>464</v>
      </c>
      <c r="D365" s="5">
        <v>42314</v>
      </c>
      <c r="E365" s="5">
        <v>42314</v>
      </c>
      <c r="G365" s="5">
        <v>43185</v>
      </c>
    </row>
    <row r="366" spans="1:7" x14ac:dyDescent="0.2">
      <c r="B366" t="str">
        <f>VLOOKUP(C366,'[1]2012-2013与2016-2018股票代码'!A:B,2,0)</f>
        <v>300020.SZ</v>
      </c>
      <c r="C366" s="4" t="s">
        <v>503</v>
      </c>
      <c r="D366" s="5">
        <v>42062</v>
      </c>
      <c r="E366" s="5">
        <v>42065</v>
      </c>
      <c r="G366" s="5">
        <v>43185</v>
      </c>
    </row>
    <row r="367" spans="1:7" x14ac:dyDescent="0.2">
      <c r="B367" t="str">
        <f>VLOOKUP(C367,'[1]2012-2013与2016-2018股票代码'!A:B,2,0)</f>
        <v>002280.SZ</v>
      </c>
      <c r="C367" t="s">
        <v>504</v>
      </c>
      <c r="D367" s="5">
        <v>42254</v>
      </c>
      <c r="E367" s="5">
        <v>42255</v>
      </c>
      <c r="G367" s="5">
        <v>43185</v>
      </c>
    </row>
    <row r="368" spans="1:7" x14ac:dyDescent="0.2">
      <c r="B368" t="str">
        <f>VLOOKUP(C368,'[1]2012-2013与2016-2018股票代码'!A:B,2,0)</f>
        <v>300001.SZ</v>
      </c>
      <c r="C368" s="4" t="s">
        <v>505</v>
      </c>
      <c r="D368" s="5">
        <v>42269</v>
      </c>
      <c r="E368" s="5">
        <v>42270</v>
      </c>
      <c r="G368" s="5">
        <v>43185</v>
      </c>
    </row>
    <row r="369" spans="1:8" x14ac:dyDescent="0.2">
      <c r="A369">
        <v>201803</v>
      </c>
      <c r="B369" t="str">
        <f>VLOOKUP(C369,'[1]2012-2013与2016-2018股票代码'!A:B,2,0)</f>
        <v>000025.SZ</v>
      </c>
      <c r="C369" s="4" t="s">
        <v>506</v>
      </c>
      <c r="D369" s="5">
        <v>42261</v>
      </c>
      <c r="E369" s="5">
        <v>42262</v>
      </c>
      <c r="G369" s="5">
        <v>43111</v>
      </c>
    </row>
    <row r="370" spans="1:8" x14ac:dyDescent="0.2">
      <c r="A370">
        <v>2017100</v>
      </c>
      <c r="B370" t="str">
        <f>VLOOKUP(C370,'[1]2012-2013与2016-2018股票代码'!A:B,2,0)</f>
        <v>430309.NQ</v>
      </c>
      <c r="C370" s="4" t="s">
        <v>507</v>
      </c>
      <c r="D370" s="5">
        <v>42222</v>
      </c>
      <c r="E370" s="5">
        <v>42235</v>
      </c>
      <c r="F370" t="s">
        <v>508</v>
      </c>
      <c r="G370" s="5">
        <v>43073</v>
      </c>
      <c r="H370" t="s">
        <v>12</v>
      </c>
    </row>
    <row r="371" spans="1:8" x14ac:dyDescent="0.2">
      <c r="B371" t="str">
        <f>VLOOKUP(C371,'[1]2012-2013与2016-2018股票代码'!A:B,2,0)</f>
        <v>430309.NQ</v>
      </c>
      <c r="C371" s="4" t="s">
        <v>507</v>
      </c>
      <c r="D371" s="5">
        <v>42223</v>
      </c>
      <c r="E371" s="5">
        <v>42333</v>
      </c>
      <c r="F371" t="s">
        <v>509</v>
      </c>
      <c r="G371" s="5">
        <v>43073</v>
      </c>
    </row>
    <row r="372" spans="1:8" x14ac:dyDescent="0.2">
      <c r="A372">
        <v>201796</v>
      </c>
      <c r="B372" t="str">
        <f>VLOOKUP(C372,'[1]2012-2013与2016-2018股票代码'!A:B,2,0)</f>
        <v>600735.SH</v>
      </c>
      <c r="C372" s="4" t="s">
        <v>510</v>
      </c>
      <c r="D372" s="5">
        <v>42044</v>
      </c>
      <c r="E372" s="5">
        <v>42243</v>
      </c>
      <c r="F372" s="4" t="s">
        <v>511</v>
      </c>
      <c r="G372" s="5">
        <v>43073</v>
      </c>
    </row>
    <row r="373" spans="1:8" x14ac:dyDescent="0.2">
      <c r="B373" t="str">
        <f>VLOOKUP(C373,'[1]2012-2013与2016-2018股票代码'!A:B,2,0)</f>
        <v>002057.SZ</v>
      </c>
      <c r="C373" t="s">
        <v>512</v>
      </c>
      <c r="D373" s="5">
        <v>42298</v>
      </c>
      <c r="E373" s="5">
        <v>42299</v>
      </c>
      <c r="G373" s="5">
        <v>43070</v>
      </c>
    </row>
    <row r="374" spans="1:8" x14ac:dyDescent="0.2">
      <c r="B374" t="str">
        <f>VLOOKUP(C374,'[1]2012-2013与2016-2018股票代码'!A:B,2,0)</f>
        <v>002235.SZ</v>
      </c>
      <c r="C374" t="s">
        <v>513</v>
      </c>
      <c r="D374" s="5">
        <v>41767</v>
      </c>
      <c r="E374" s="5">
        <v>41768</v>
      </c>
      <c r="G374" s="5">
        <v>43070</v>
      </c>
    </row>
    <row r="375" spans="1:8" x14ac:dyDescent="0.2">
      <c r="B375" t="str">
        <f>VLOOKUP(C375,'[1]2012-2013与2016-2018股票代码'!A:B,2,0)</f>
        <v>000667.SZ</v>
      </c>
      <c r="C375" s="4" t="s">
        <v>514</v>
      </c>
      <c r="D375" s="5">
        <v>41940</v>
      </c>
      <c r="E375" s="5">
        <v>41941</v>
      </c>
      <c r="G375" s="5">
        <v>43070</v>
      </c>
    </row>
    <row r="376" spans="1:8" x14ac:dyDescent="0.2">
      <c r="B376" t="str">
        <f>VLOOKUP(C376,'[1]2012-2013与2016-2018股票代码'!A:B,2,0)</f>
        <v>300470.SZ</v>
      </c>
      <c r="C376" s="4" t="s">
        <v>515</v>
      </c>
      <c r="D376" s="5">
        <v>42248</v>
      </c>
      <c r="E376" s="5">
        <v>42249</v>
      </c>
      <c r="G376" s="5">
        <v>43070</v>
      </c>
    </row>
    <row r="377" spans="1:8" x14ac:dyDescent="0.2">
      <c r="B377" t="str">
        <f>VLOOKUP(C377,'[1]2012-2013与2016-2018股票代码'!A:B,2,0)</f>
        <v>300245.SZ</v>
      </c>
      <c r="C377" s="4" t="s">
        <v>516</v>
      </c>
      <c r="D377" s="5">
        <v>42254</v>
      </c>
      <c r="E377" s="5">
        <v>42255</v>
      </c>
      <c r="G377" s="5">
        <v>43070</v>
      </c>
    </row>
    <row r="378" spans="1:8" x14ac:dyDescent="0.2">
      <c r="B378" t="str">
        <f>VLOOKUP(C378,'[1]2012-2013与2016-2018股票代码'!A:B,2,0)</f>
        <v>000700.SZ</v>
      </c>
      <c r="C378" s="4" t="s">
        <v>517</v>
      </c>
      <c r="D378" s="5">
        <v>41715</v>
      </c>
      <c r="E378" s="5">
        <v>41716</v>
      </c>
      <c r="G378" s="5">
        <v>43070</v>
      </c>
    </row>
    <row r="379" spans="1:8" x14ac:dyDescent="0.2">
      <c r="B379" t="str">
        <f>VLOOKUP(C379,'[1]2012-2013与2016-2018股票代码'!A:B,2,0)</f>
        <v>600581.SH</v>
      </c>
      <c r="C379" s="4" t="s">
        <v>518</v>
      </c>
      <c r="D379" s="5">
        <v>42305</v>
      </c>
      <c r="E379" s="5">
        <v>42306</v>
      </c>
      <c r="G379" s="5">
        <v>43070</v>
      </c>
    </row>
    <row r="380" spans="1:8" x14ac:dyDescent="0.2">
      <c r="B380" t="str">
        <f>VLOOKUP(C380,'[1]2012-2013与2016-2018股票代码'!A:B,2,0)</f>
        <v>002607.SZ</v>
      </c>
      <c r="C380" s="4" t="s">
        <v>519</v>
      </c>
      <c r="D380" s="5">
        <v>42186</v>
      </c>
      <c r="E380" s="5">
        <v>42187</v>
      </c>
      <c r="G380" s="5">
        <v>43070</v>
      </c>
    </row>
    <row r="381" spans="1:8" x14ac:dyDescent="0.2">
      <c r="B381" t="str">
        <f>VLOOKUP(C381,'[1]2012-2013与2016-2018股票代码'!A:B,2,0)</f>
        <v>000419.SZ</v>
      </c>
      <c r="C381" s="4" t="s">
        <v>520</v>
      </c>
      <c r="D381" s="5">
        <v>42216</v>
      </c>
      <c r="E381" s="5">
        <v>42221</v>
      </c>
      <c r="F381" s="4" t="s">
        <v>521</v>
      </c>
      <c r="G381" s="5">
        <v>43070</v>
      </c>
    </row>
    <row r="382" spans="1:8" x14ac:dyDescent="0.2">
      <c r="B382" t="str">
        <f>VLOOKUP(C382,'[1]2012-2013与2016-2018股票代码'!A:B,2,0)</f>
        <v>002520.SZ</v>
      </c>
      <c r="C382" s="4" t="s">
        <v>522</v>
      </c>
      <c r="D382" s="5">
        <v>41641</v>
      </c>
      <c r="E382" s="5">
        <v>41642</v>
      </c>
      <c r="G382" s="5">
        <v>43070</v>
      </c>
    </row>
    <row r="383" spans="1:8" x14ac:dyDescent="0.2">
      <c r="B383" t="str">
        <f>VLOOKUP(C383,'[1]2012-2013与2016-2018股票代码'!A:B,2,0)</f>
        <v>000950.SZ</v>
      </c>
      <c r="C383" s="4" t="s">
        <v>523</v>
      </c>
      <c r="D383" s="5">
        <v>42213</v>
      </c>
      <c r="E383" s="5">
        <v>42214</v>
      </c>
      <c r="G383" s="5">
        <v>43070</v>
      </c>
    </row>
    <row r="384" spans="1:8" x14ac:dyDescent="0.2">
      <c r="B384" t="str">
        <f>VLOOKUP(C384,'[1]2012-2013与2016-2018股票代码'!A:B,2,0)</f>
        <v>000833.SZ</v>
      </c>
      <c r="C384" s="4" t="s">
        <v>524</v>
      </c>
      <c r="D384" s="5">
        <v>42235</v>
      </c>
      <c r="E384" s="5">
        <v>42236</v>
      </c>
      <c r="G384" s="5">
        <v>43070</v>
      </c>
    </row>
    <row r="385" spans="1:8" x14ac:dyDescent="0.2">
      <c r="B385" t="str">
        <f>VLOOKUP(C385,'[1]2012-2013与2016-2018股票代码'!A:B,2,0)</f>
        <v>002056.SZ</v>
      </c>
      <c r="C385" s="4" t="s">
        <v>525</v>
      </c>
      <c r="D385" s="5">
        <v>42236</v>
      </c>
      <c r="E385" s="5">
        <v>42237</v>
      </c>
      <c r="G385" s="5">
        <v>43070</v>
      </c>
    </row>
    <row r="386" spans="1:8" x14ac:dyDescent="0.2">
      <c r="B386" t="str">
        <f>VLOOKUP(C386,'[1]2012-2013与2016-2018股票代码'!A:B,2,0)</f>
        <v>002515.SZ</v>
      </c>
      <c r="C386" s="4" t="s">
        <v>526</v>
      </c>
      <c r="D386" s="5">
        <v>42242</v>
      </c>
      <c r="E386" s="5">
        <v>42243</v>
      </c>
      <c r="G386" s="5">
        <v>43070</v>
      </c>
    </row>
    <row r="387" spans="1:8" x14ac:dyDescent="0.2">
      <c r="B387" t="str">
        <f>VLOOKUP(C387,'[1]2012-2013与2016-2018股票代码'!A:B,2,0)</f>
        <v>000591.SZ</v>
      </c>
      <c r="C387" s="4" t="s">
        <v>527</v>
      </c>
      <c r="D387" s="5">
        <v>41864</v>
      </c>
      <c r="E387" s="5">
        <v>41865</v>
      </c>
      <c r="G387" s="5">
        <v>43070</v>
      </c>
    </row>
    <row r="388" spans="1:8" x14ac:dyDescent="0.2">
      <c r="A388">
        <v>201780</v>
      </c>
      <c r="B388" t="str">
        <f>VLOOKUP(C388,'[1]2012-2013与2016-2018股票代码'!A:B,2,0)</f>
        <v>002219.SZ</v>
      </c>
      <c r="C388" t="s">
        <v>528</v>
      </c>
      <c r="D388" s="5">
        <v>41403</v>
      </c>
      <c r="E388" s="7">
        <v>41459</v>
      </c>
      <c r="G388" s="5">
        <v>42957</v>
      </c>
    </row>
    <row r="389" spans="1:8" x14ac:dyDescent="0.2">
      <c r="A389">
        <v>201777</v>
      </c>
      <c r="B389" t="str">
        <f>VLOOKUP(C389,'[1]2012-2013与2016-2018股票代码'!A:B,2,0)</f>
        <v>600359.SH</v>
      </c>
      <c r="C389" t="s">
        <v>529</v>
      </c>
      <c r="D389" s="5">
        <v>42184</v>
      </c>
      <c r="E389" s="5">
        <v>42184</v>
      </c>
      <c r="G389" s="5">
        <v>42956</v>
      </c>
    </row>
    <row r="390" spans="1:8" x14ac:dyDescent="0.2">
      <c r="B390" t="str">
        <f>VLOOKUP(C390,'[1]2012-2013与2016-2018股票代码'!A:B,2,0)</f>
        <v>002405.SZ</v>
      </c>
      <c r="C390" t="s">
        <v>530</v>
      </c>
      <c r="D390" s="5">
        <v>42229</v>
      </c>
      <c r="E390" s="5">
        <v>42229</v>
      </c>
      <c r="G390" s="5">
        <v>42891</v>
      </c>
    </row>
    <row r="391" spans="1:8" x14ac:dyDescent="0.2">
      <c r="B391" t="str">
        <f>VLOOKUP(C391,'[1]2012-2013与2016-2018股票代码'!A:B,2,0)</f>
        <v>002195.SZ</v>
      </c>
      <c r="C391" t="s">
        <v>531</v>
      </c>
      <c r="D391" s="5">
        <v>42229</v>
      </c>
      <c r="E391" s="5">
        <v>42229</v>
      </c>
      <c r="G391" s="5">
        <v>42891</v>
      </c>
    </row>
    <row r="392" spans="1:8" x14ac:dyDescent="0.2">
      <c r="B392" t="str">
        <f>VLOOKUP(C392,'[1]2012-2013与2016-2018股票代码'!A:B,2,0)</f>
        <v>002366.SZ</v>
      </c>
      <c r="C392" t="s">
        <v>532</v>
      </c>
      <c r="D392" s="5">
        <v>42229</v>
      </c>
      <c r="E392" s="5">
        <v>42229</v>
      </c>
      <c r="G392" s="5">
        <v>42891</v>
      </c>
    </row>
    <row r="393" spans="1:8" x14ac:dyDescent="0.2">
      <c r="B393" t="str">
        <f>VLOOKUP(C393,'[1]2012-2013与2016-2018股票代码'!A:B,2,0)</f>
        <v>002405.SZ</v>
      </c>
      <c r="C393" t="s">
        <v>530</v>
      </c>
      <c r="D393" s="5">
        <v>42293</v>
      </c>
      <c r="E393" s="5">
        <v>42293</v>
      </c>
      <c r="G393" s="5">
        <v>42891</v>
      </c>
    </row>
    <row r="394" spans="1:8" x14ac:dyDescent="0.2">
      <c r="B394" t="str">
        <f>VLOOKUP(C394,'[1]2012-2013与2016-2018股票代码'!A:B,2,0)</f>
        <v>002195.SZ</v>
      </c>
      <c r="C394" t="s">
        <v>531</v>
      </c>
      <c r="D394" s="5">
        <v>42293</v>
      </c>
      <c r="E394" s="5">
        <v>42293</v>
      </c>
      <c r="G394" s="5">
        <v>42891</v>
      </c>
    </row>
    <row r="395" spans="1:8" x14ac:dyDescent="0.2">
      <c r="B395" t="str">
        <f>VLOOKUP(C395,'[1]2012-2013与2016-2018股票代码'!A:B,2,0)</f>
        <v>002366.SZ</v>
      </c>
      <c r="C395" t="s">
        <v>532</v>
      </c>
      <c r="D395" s="5">
        <v>42293</v>
      </c>
      <c r="E395" s="5">
        <v>42293</v>
      </c>
      <c r="G395" s="5">
        <v>42891</v>
      </c>
    </row>
    <row r="396" spans="1:8" x14ac:dyDescent="0.2">
      <c r="B396" t="str">
        <f>VLOOKUP(C396,'[1]2012-2013与2016-2018股票代码'!A:B,2,0)</f>
        <v>002405.SZ</v>
      </c>
      <c r="C396" t="s">
        <v>530</v>
      </c>
      <c r="D396" s="5">
        <v>42303</v>
      </c>
      <c r="E396" s="5">
        <v>42303</v>
      </c>
      <c r="G396" s="5">
        <v>42891</v>
      </c>
    </row>
    <row r="397" spans="1:8" x14ac:dyDescent="0.2">
      <c r="B397" t="str">
        <f>VLOOKUP(C397,'[1]2012-2013与2016-2018股票代码'!A:B,2,0)</f>
        <v>002195.SZ</v>
      </c>
      <c r="C397" t="s">
        <v>531</v>
      </c>
      <c r="D397" s="5">
        <v>42303</v>
      </c>
      <c r="E397" s="5">
        <v>42303</v>
      </c>
      <c r="G397" s="5">
        <v>42891</v>
      </c>
    </row>
    <row r="398" spans="1:8" x14ac:dyDescent="0.2">
      <c r="B398" t="str">
        <f>VLOOKUP(C398,'[1]2012-2013与2016-2018股票代码'!A:B,2,0)</f>
        <v>002366.SZ</v>
      </c>
      <c r="C398" t="s">
        <v>532</v>
      </c>
      <c r="D398" s="5">
        <v>42303</v>
      </c>
      <c r="E398" s="5">
        <v>42303</v>
      </c>
      <c r="G398" s="5">
        <v>42891</v>
      </c>
    </row>
    <row r="399" spans="1:8" x14ac:dyDescent="0.2">
      <c r="B399" t="str">
        <f>VLOOKUP(C399,'[1]2012-2013与2016-2018股票代码'!A:B,2,0)</f>
        <v>002295.SZ</v>
      </c>
      <c r="C399" s="4" t="s">
        <v>533</v>
      </c>
      <c r="D399" s="5">
        <v>42023</v>
      </c>
      <c r="E399" s="5">
        <v>42023</v>
      </c>
      <c r="G399" s="5">
        <v>42891</v>
      </c>
    </row>
    <row r="400" spans="1:8" x14ac:dyDescent="0.2">
      <c r="A400">
        <v>201757</v>
      </c>
      <c r="B400" t="str">
        <f>VLOOKUP(C400,'[1]2012-2013与2016-2018股票代码'!A:B,2,0)</f>
        <v>603166.SH</v>
      </c>
      <c r="C400" t="s">
        <v>534</v>
      </c>
      <c r="D400" s="5">
        <v>42556</v>
      </c>
      <c r="E400" s="5">
        <v>42563</v>
      </c>
      <c r="F400" s="4" t="s">
        <v>535</v>
      </c>
      <c r="G400" s="5">
        <v>42886</v>
      </c>
      <c r="H400" t="s">
        <v>12</v>
      </c>
    </row>
    <row r="401" spans="1:8" x14ac:dyDescent="0.2">
      <c r="B401" t="str">
        <f>VLOOKUP(C401,'[1]2012-2013与2016-2018股票代码'!A:B,2,0)</f>
        <v>603166.SH</v>
      </c>
      <c r="C401" t="s">
        <v>534</v>
      </c>
      <c r="D401" s="5">
        <v>42566</v>
      </c>
      <c r="E401" s="5">
        <v>42569</v>
      </c>
      <c r="F401" s="4" t="s">
        <v>536</v>
      </c>
      <c r="G401" s="5">
        <v>42886</v>
      </c>
    </row>
    <row r="402" spans="1:8" x14ac:dyDescent="0.2">
      <c r="B402" t="str">
        <f>VLOOKUP(C402,'[1]2012-2013与2016-2018股票代码'!A:B,2,0)</f>
        <v>000809.SZ</v>
      </c>
      <c r="C402" t="s">
        <v>537</v>
      </c>
      <c r="D402" s="5">
        <v>41526</v>
      </c>
      <c r="E402" s="5">
        <v>41634</v>
      </c>
      <c r="F402" t="s">
        <v>538</v>
      </c>
      <c r="G402" s="5">
        <v>42852</v>
      </c>
    </row>
    <row r="403" spans="1:8" x14ac:dyDescent="0.2">
      <c r="B403" t="str">
        <f>VLOOKUP(C403,'[1]2012-2013与2016-2018股票代码'!A:B,2,0)</f>
        <v>000715.SZ</v>
      </c>
      <c r="C403" s="4" t="s">
        <v>539</v>
      </c>
      <c r="D403" s="5">
        <v>41278</v>
      </c>
      <c r="E403" s="5">
        <v>41785</v>
      </c>
      <c r="F403" t="s">
        <v>540</v>
      </c>
      <c r="G403" s="5">
        <v>42852</v>
      </c>
      <c r="H403" t="s">
        <v>541</v>
      </c>
    </row>
    <row r="404" spans="1:8" x14ac:dyDescent="0.2">
      <c r="A404">
        <v>201737</v>
      </c>
      <c r="B404" t="str">
        <f>VLOOKUP(C404,'[1]2012-2013与2016-2018股票代码'!A:B,2,0)</f>
        <v>600604.SH</v>
      </c>
      <c r="C404" t="s">
        <v>542</v>
      </c>
      <c r="D404" s="5">
        <v>42255</v>
      </c>
      <c r="E404" s="5">
        <v>42262</v>
      </c>
      <c r="G404" s="5">
        <v>42850</v>
      </c>
    </row>
    <row r="405" spans="1:8" x14ac:dyDescent="0.2">
      <c r="B405" t="str">
        <f>VLOOKUP(C405,'[1]2012-2013与2016-2018股票代码'!A:B,2,0)</f>
        <v>300100.SZ</v>
      </c>
      <c r="C405" t="s">
        <v>543</v>
      </c>
      <c r="D405" s="5">
        <v>41969</v>
      </c>
      <c r="E405" s="5">
        <v>41970</v>
      </c>
      <c r="G405" s="5">
        <v>42830</v>
      </c>
    </row>
    <row r="406" spans="1:8" x14ac:dyDescent="0.2">
      <c r="B406" t="str">
        <f>VLOOKUP(C406,'[1]2012-2013与2016-2018股票代码'!A:B,2,0)</f>
        <v>002537.SZ</v>
      </c>
      <c r="C406" s="4" t="s">
        <v>544</v>
      </c>
      <c r="D406" s="5">
        <v>41908</v>
      </c>
      <c r="E406" s="5">
        <v>41911</v>
      </c>
      <c r="G406" s="5">
        <v>42830</v>
      </c>
    </row>
    <row r="407" spans="1:8" x14ac:dyDescent="0.2">
      <c r="B407" t="str">
        <f>VLOOKUP(C407,'[1]2012-2013与2016-2018股票代码'!A:B,2,0)</f>
        <v>300283.SZ</v>
      </c>
      <c r="C407" s="4" t="s">
        <v>545</v>
      </c>
      <c r="D407" s="5">
        <v>41904</v>
      </c>
      <c r="E407" s="5">
        <v>41905</v>
      </c>
      <c r="G407" s="5">
        <v>42830</v>
      </c>
    </row>
    <row r="408" spans="1:8" x14ac:dyDescent="0.2">
      <c r="B408" t="str">
        <f>VLOOKUP(C408,'[1]2012-2013与2016-2018股票代码'!A:B,2,0)</f>
        <v>002265.SZ</v>
      </c>
      <c r="C408" s="4" t="s">
        <v>546</v>
      </c>
      <c r="D408" s="5">
        <v>41970</v>
      </c>
      <c r="E408" s="5">
        <v>41971</v>
      </c>
      <c r="G408" s="5">
        <v>42830</v>
      </c>
    </row>
    <row r="409" spans="1:8" x14ac:dyDescent="0.2">
      <c r="B409" t="str">
        <f>VLOOKUP(C409,'[1]2012-2013与2016-2018股票代码'!A:B,2,0)</f>
        <v>300305.SZ</v>
      </c>
      <c r="C409" s="4" t="s">
        <v>547</v>
      </c>
      <c r="D409" s="5">
        <v>41899</v>
      </c>
      <c r="E409" s="5">
        <v>41900</v>
      </c>
      <c r="G409" s="5">
        <v>42830</v>
      </c>
      <c r="H409" t="s">
        <v>12</v>
      </c>
    </row>
    <row r="410" spans="1:8" x14ac:dyDescent="0.2">
      <c r="B410" t="str">
        <f>VLOOKUP(C410,'[1]2012-2013与2016-2018股票代码'!A:B,2,0)</f>
        <v>300305.SZ</v>
      </c>
      <c r="C410" s="4" t="s">
        <v>547</v>
      </c>
      <c r="D410" s="5">
        <v>41953</v>
      </c>
      <c r="E410" s="5">
        <v>41961</v>
      </c>
      <c r="G410" s="5">
        <v>42830</v>
      </c>
    </row>
    <row r="411" spans="1:8" x14ac:dyDescent="0.2">
      <c r="A411">
        <v>201729</v>
      </c>
      <c r="B411" t="str">
        <f>VLOOKUP(C411,'[1]2012-2013与2016-2018股票代码'!A:B,2,0)</f>
        <v>600696.SH</v>
      </c>
      <c r="C411" s="4" t="s">
        <v>548</v>
      </c>
      <c r="D411" s="5">
        <v>41656</v>
      </c>
      <c r="E411" s="5">
        <v>42167</v>
      </c>
      <c r="F411" t="s">
        <v>549</v>
      </c>
      <c r="G411" s="5">
        <v>42824</v>
      </c>
      <c r="H411" t="s">
        <v>541</v>
      </c>
    </row>
    <row r="412" spans="1:8" x14ac:dyDescent="0.2">
      <c r="A412">
        <v>201727</v>
      </c>
      <c r="B412" t="str">
        <f>VLOOKUP(C412,'[1]2012-2013与2016-2018股票代码'!A:B,2,0)</f>
        <v>600768.SH</v>
      </c>
      <c r="C412" s="4" t="s">
        <v>550</v>
      </c>
      <c r="D412" s="5">
        <v>41935</v>
      </c>
      <c r="E412" s="5">
        <v>42263</v>
      </c>
      <c r="F412" t="s">
        <v>551</v>
      </c>
      <c r="G412" s="5">
        <v>42807</v>
      </c>
      <c r="H412" t="s">
        <v>541</v>
      </c>
    </row>
    <row r="413" spans="1:8" x14ac:dyDescent="0.2">
      <c r="A413">
        <v>201721</v>
      </c>
      <c r="B413" t="str">
        <f>VLOOKUP(C413,'[1]2012-2013与2016-2018股票代码'!A:B,2,0)</f>
        <v>600415.SH</v>
      </c>
      <c r="C413" s="4" t="s">
        <v>552</v>
      </c>
      <c r="D413" s="5">
        <v>42404</v>
      </c>
      <c r="E413" s="5">
        <v>42544</v>
      </c>
      <c r="F413" s="4" t="s">
        <v>553</v>
      </c>
      <c r="G413" s="5">
        <v>42804</v>
      </c>
    </row>
    <row r="414" spans="1:8" x14ac:dyDescent="0.2">
      <c r="B414" t="str">
        <f>VLOOKUP(C414,'[1]2012-2013与2016-2018股票代码'!A:B,2,0)</f>
        <v>300033.SZ</v>
      </c>
      <c r="C414" t="s">
        <v>554</v>
      </c>
      <c r="D414" s="5">
        <v>42047</v>
      </c>
      <c r="E414" s="5">
        <v>42086</v>
      </c>
      <c r="F414" s="4" t="s">
        <v>555</v>
      </c>
      <c r="G414" s="5">
        <v>42804</v>
      </c>
      <c r="H414" t="s">
        <v>45</v>
      </c>
    </row>
    <row r="415" spans="1:8" x14ac:dyDescent="0.2">
      <c r="B415" t="str">
        <f>VLOOKUP(C415,'[1]2012-2013与2016-2018股票代码'!A:B,2,0)</f>
        <v>002544.SZ</v>
      </c>
      <c r="C415" s="4" t="s">
        <v>556</v>
      </c>
      <c r="D415" s="5">
        <v>41974</v>
      </c>
      <c r="E415" s="5">
        <v>42093</v>
      </c>
      <c r="F415" s="4" t="s">
        <v>557</v>
      </c>
      <c r="G415" s="5">
        <v>42804</v>
      </c>
    </row>
    <row r="416" spans="1:8" x14ac:dyDescent="0.2">
      <c r="B416" t="str">
        <f>VLOOKUP(C416,'[1]2012-2013与2016-2018股票代码'!A:B,2,0)</f>
        <v>000776.SZ</v>
      </c>
      <c r="C416" s="4" t="s">
        <v>558</v>
      </c>
      <c r="D416" s="5">
        <v>41977</v>
      </c>
      <c r="E416" s="5">
        <v>41978</v>
      </c>
      <c r="F416" s="4"/>
      <c r="G416" s="5">
        <v>42804</v>
      </c>
    </row>
    <row r="417" spans="1:7" x14ac:dyDescent="0.2">
      <c r="B417" t="str">
        <f>VLOOKUP(C417,'[1]2012-2013与2016-2018股票代码'!A:B,2,0)</f>
        <v>000876.SZ</v>
      </c>
      <c r="C417" s="4" t="s">
        <v>559</v>
      </c>
      <c r="D417" s="5">
        <v>42086</v>
      </c>
      <c r="E417" s="5">
        <v>42088</v>
      </c>
      <c r="F417" s="4" t="s">
        <v>560</v>
      </c>
      <c r="G417" s="5">
        <v>42804</v>
      </c>
    </row>
    <row r="418" spans="1:7" x14ac:dyDescent="0.2">
      <c r="B418" t="str">
        <f>VLOOKUP(C418,'[1]2012-2013与2016-2018股票代码'!A:B,2,0)</f>
        <v>002297.SZ</v>
      </c>
      <c r="C418" s="4" t="s">
        <v>561</v>
      </c>
      <c r="D418" s="5">
        <v>42087</v>
      </c>
      <c r="E418" s="5">
        <v>42089</v>
      </c>
      <c r="F418" s="4" t="s">
        <v>562</v>
      </c>
      <c r="G418" s="5">
        <v>42804</v>
      </c>
    </row>
    <row r="419" spans="1:7" x14ac:dyDescent="0.2">
      <c r="A419">
        <v>201706</v>
      </c>
      <c r="B419" t="str">
        <f>VLOOKUP(C419,'[1]2012-2013与2016-2018股票代码'!A:B,2,0)</f>
        <v>002334.SZ</v>
      </c>
      <c r="C419" t="s">
        <v>563</v>
      </c>
      <c r="D419" s="5">
        <v>42256</v>
      </c>
      <c r="E419" s="5">
        <v>42258</v>
      </c>
      <c r="G419" s="5">
        <v>42744</v>
      </c>
    </row>
    <row r="420" spans="1:7" x14ac:dyDescent="0.2">
      <c r="B420" t="str">
        <f>VLOOKUP(C420,'[1]2012-2013与2016-2018股票代码'!A:B,2,0)</f>
        <v>002682.SZ</v>
      </c>
      <c r="C420" t="s">
        <v>564</v>
      </c>
      <c r="D420" s="5">
        <v>41824</v>
      </c>
      <c r="E420" s="5">
        <v>41865</v>
      </c>
      <c r="F420" t="s">
        <v>565</v>
      </c>
      <c r="G420" s="5">
        <v>42685</v>
      </c>
    </row>
    <row r="421" spans="1:7" x14ac:dyDescent="0.2">
      <c r="B421" t="str">
        <f>VLOOKUP(C421,'[1]2012-2013与2016-2018股票代码'!A:B,2,0)</f>
        <v>002342.SZ</v>
      </c>
      <c r="C421" s="4" t="s">
        <v>566</v>
      </c>
      <c r="D421" s="5">
        <v>41885</v>
      </c>
      <c r="E421" s="5">
        <v>41887</v>
      </c>
      <c r="G421" s="5">
        <v>42685</v>
      </c>
    </row>
    <row r="422" spans="1:7" x14ac:dyDescent="0.2">
      <c r="B422" t="str">
        <f>VLOOKUP(C422,'[1]2012-2013与2016-2018股票代码'!A:B,2,0)</f>
        <v>002363.SZ</v>
      </c>
      <c r="C422" s="4" t="s">
        <v>567</v>
      </c>
      <c r="D422" s="5">
        <v>41750</v>
      </c>
      <c r="E422" s="5">
        <v>41757</v>
      </c>
      <c r="G422" s="5">
        <v>42685</v>
      </c>
    </row>
    <row r="423" spans="1:7" x14ac:dyDescent="0.2">
      <c r="B423" t="str">
        <f>VLOOKUP(C423,'[1]2012-2013与2016-2018股票代码'!A:B,2,0)</f>
        <v>002115.SZ</v>
      </c>
      <c r="C423" s="4" t="s">
        <v>568</v>
      </c>
      <c r="D423" s="5">
        <v>41757</v>
      </c>
      <c r="E423" s="5">
        <v>41764</v>
      </c>
      <c r="G423" s="5">
        <v>42685</v>
      </c>
    </row>
    <row r="424" spans="1:7" x14ac:dyDescent="0.2">
      <c r="B424" t="str">
        <f>VLOOKUP(C424,'[1]2012-2013与2016-2018股票代码'!A:B,2,0)</f>
        <v>000863.SZ</v>
      </c>
      <c r="C424" s="4" t="s">
        <v>569</v>
      </c>
      <c r="D424" s="5">
        <v>41765</v>
      </c>
      <c r="E424" s="5">
        <v>41785</v>
      </c>
      <c r="G424" s="5">
        <v>42685</v>
      </c>
    </row>
    <row r="425" spans="1:7" x14ac:dyDescent="0.2">
      <c r="B425" t="str">
        <f>VLOOKUP(C425,'[1]2012-2013与2016-2018股票代码'!A:B,2,0)</f>
        <v>300012.SZ</v>
      </c>
      <c r="C425" s="4" t="s">
        <v>570</v>
      </c>
      <c r="D425" s="5">
        <v>41803</v>
      </c>
      <c r="E425" s="5">
        <v>41807</v>
      </c>
      <c r="G425" s="5">
        <v>42685</v>
      </c>
    </row>
    <row r="426" spans="1:7" x14ac:dyDescent="0.2">
      <c r="B426" t="str">
        <f>VLOOKUP(C426,'[1]2012-2013与2016-2018股票代码'!A:B,2,0)</f>
        <v>300234.SZ</v>
      </c>
      <c r="C426" s="4" t="s">
        <v>571</v>
      </c>
      <c r="D426" s="5">
        <v>41815</v>
      </c>
      <c r="E426" s="5">
        <v>41817</v>
      </c>
      <c r="G426" s="5">
        <v>42685</v>
      </c>
    </row>
    <row r="427" spans="1:7" x14ac:dyDescent="0.2">
      <c r="B427" t="str">
        <f>VLOOKUP(C427,'[1]2012-2013与2016-2018股票代码'!A:B,2,0)</f>
        <v>002251.SZ</v>
      </c>
      <c r="C427" s="4" t="s">
        <v>572</v>
      </c>
      <c r="D427" s="5">
        <v>41856</v>
      </c>
      <c r="E427" s="7">
        <v>41862</v>
      </c>
      <c r="G427" s="5">
        <v>42685</v>
      </c>
    </row>
    <row r="428" spans="1:7" x14ac:dyDescent="0.2">
      <c r="B428" t="str">
        <f>VLOOKUP(C428,'[1]2012-2013与2016-2018股票代码'!A:B,2,0)</f>
        <v>300195.SZ</v>
      </c>
      <c r="C428" s="4" t="s">
        <v>573</v>
      </c>
      <c r="D428" s="5">
        <v>41876</v>
      </c>
      <c r="E428" s="5">
        <v>41884</v>
      </c>
      <c r="F428" t="s">
        <v>574</v>
      </c>
      <c r="G428" s="5">
        <v>42685</v>
      </c>
    </row>
    <row r="429" spans="1:7" x14ac:dyDescent="0.2">
      <c r="B429" t="str">
        <f>VLOOKUP(C429,'[1]2012-2013与2016-2018股票代码'!A:B,2,0)</f>
        <v>300256.SZ</v>
      </c>
      <c r="C429" s="4" t="s">
        <v>470</v>
      </c>
      <c r="D429" s="5">
        <v>41891</v>
      </c>
      <c r="E429" s="5">
        <v>41894</v>
      </c>
      <c r="F429" s="4" t="s">
        <v>575</v>
      </c>
      <c r="G429" s="5">
        <v>42685</v>
      </c>
    </row>
    <row r="430" spans="1:7" x14ac:dyDescent="0.2">
      <c r="B430" t="str">
        <f>VLOOKUP(C430,'[1]2012-2013与2016-2018股票代码'!A:B,2,0)</f>
        <v>000404.SZ</v>
      </c>
      <c r="C430" s="4" t="s">
        <v>576</v>
      </c>
      <c r="D430" s="5">
        <v>41893</v>
      </c>
      <c r="E430" s="5">
        <v>41907</v>
      </c>
      <c r="F430" s="4" t="s">
        <v>577</v>
      </c>
      <c r="G430" s="5">
        <v>42685</v>
      </c>
    </row>
    <row r="431" spans="1:7" x14ac:dyDescent="0.2">
      <c r="B431" t="str">
        <f>VLOOKUP(C431,'[1]2012-2013与2016-2018股票代码'!A:B,2,0)</f>
        <v>002392.SZ</v>
      </c>
      <c r="C431" s="4" t="s">
        <v>578</v>
      </c>
      <c r="D431" s="5">
        <v>41893</v>
      </c>
      <c r="E431" s="5">
        <v>41899</v>
      </c>
      <c r="F431" s="4" t="s">
        <v>579</v>
      </c>
      <c r="G431" s="5">
        <v>42685</v>
      </c>
    </row>
    <row r="432" spans="1:7" x14ac:dyDescent="0.2">
      <c r="B432" t="str">
        <f>VLOOKUP(C432,'[1]2012-2013与2016-2018股票代码'!A:B,2,0)</f>
        <v>002173.SZ</v>
      </c>
      <c r="C432" s="4" t="s">
        <v>580</v>
      </c>
      <c r="D432" s="5">
        <v>41904</v>
      </c>
      <c r="E432" s="5">
        <v>41906</v>
      </c>
      <c r="F432" s="4" t="s">
        <v>581</v>
      </c>
      <c r="G432" s="5">
        <v>42685</v>
      </c>
    </row>
    <row r="433" spans="1:7" x14ac:dyDescent="0.2">
      <c r="B433" t="str">
        <f>VLOOKUP(C433,'[1]2012-2013与2016-2018股票代码'!A:B,2,0)</f>
        <v>000703.SZ</v>
      </c>
      <c r="C433" s="4" t="s">
        <v>582</v>
      </c>
      <c r="D433" s="5">
        <v>41927</v>
      </c>
      <c r="E433" s="5">
        <v>41939</v>
      </c>
      <c r="F433" s="4" t="s">
        <v>583</v>
      </c>
      <c r="G433" s="5">
        <v>42685</v>
      </c>
    </row>
    <row r="434" spans="1:7" x14ac:dyDescent="0.2">
      <c r="B434" t="str">
        <f>VLOOKUP(C434,'[1]2012-2013与2016-2018股票代码'!A:B,2,0)</f>
        <v>600012.SH</v>
      </c>
      <c r="C434" s="4" t="s">
        <v>584</v>
      </c>
      <c r="D434" s="5">
        <v>41786</v>
      </c>
      <c r="E434" s="5">
        <v>41793</v>
      </c>
      <c r="F434" s="4" t="s">
        <v>585</v>
      </c>
      <c r="G434" s="5">
        <v>42685</v>
      </c>
    </row>
    <row r="435" spans="1:7" x14ac:dyDescent="0.2">
      <c r="B435" t="str">
        <f>VLOOKUP(C435,'[1]2012-2013与2016-2018股票代码'!A:B,2,0)</f>
        <v>600282.SH</v>
      </c>
      <c r="C435" s="4" t="s">
        <v>586</v>
      </c>
      <c r="D435" s="5">
        <v>41836</v>
      </c>
      <c r="E435" s="5">
        <v>41843</v>
      </c>
      <c r="F435" s="4" t="s">
        <v>587</v>
      </c>
      <c r="G435" s="5">
        <v>42685</v>
      </c>
    </row>
    <row r="436" spans="1:7" x14ac:dyDescent="0.2">
      <c r="B436" t="str">
        <f>VLOOKUP(C436,'[1]2012-2013与2016-2018股票代码'!A:B,2,0)</f>
        <v>600792.SH</v>
      </c>
      <c r="C436" s="4" t="s">
        <v>329</v>
      </c>
      <c r="D436" s="5">
        <v>41978</v>
      </c>
      <c r="E436" s="5">
        <v>41981</v>
      </c>
      <c r="F436" s="4" t="s">
        <v>588</v>
      </c>
      <c r="G436" s="5">
        <v>42685</v>
      </c>
    </row>
    <row r="437" spans="1:7" x14ac:dyDescent="0.2">
      <c r="A437">
        <v>2016120</v>
      </c>
      <c r="C437" t="s">
        <v>589</v>
      </c>
      <c r="G437" s="5">
        <v>42685</v>
      </c>
    </row>
    <row r="438" spans="1:7" x14ac:dyDescent="0.2">
      <c r="B438" t="str">
        <f>VLOOKUP(C438,'[1]2012-2013与2016-2018股票代码'!A:B,2,0)</f>
        <v>002496.SZ</v>
      </c>
      <c r="C438" t="s">
        <v>590</v>
      </c>
      <c r="D438" s="5">
        <v>42202</v>
      </c>
      <c r="E438" s="5">
        <v>42202</v>
      </c>
      <c r="G438" s="5">
        <v>42685</v>
      </c>
    </row>
    <row r="439" spans="1:7" x14ac:dyDescent="0.2">
      <c r="B439" t="str">
        <f>VLOOKUP(C439,'[1]2012-2013与2016-2018股票代码'!A:B,2,0)</f>
        <v>002498.SZ</v>
      </c>
      <c r="C439" s="4" t="s">
        <v>591</v>
      </c>
      <c r="D439" s="5">
        <v>42206</v>
      </c>
      <c r="E439" s="5">
        <v>42206</v>
      </c>
      <c r="G439" s="5">
        <v>42685</v>
      </c>
    </row>
    <row r="440" spans="1:7" x14ac:dyDescent="0.2">
      <c r="B440" t="str">
        <f>VLOOKUP(C440,'[1]2012-2013与2016-2018股票代码'!A:B,2,0)</f>
        <v>000004.SZ</v>
      </c>
      <c r="C440" s="4" t="s">
        <v>592</v>
      </c>
      <c r="D440" s="5">
        <v>42228</v>
      </c>
      <c r="E440" s="5">
        <v>42228</v>
      </c>
      <c r="G440" s="5">
        <v>42685</v>
      </c>
    </row>
    <row r="441" spans="1:7" x14ac:dyDescent="0.2">
      <c r="B441" t="str">
        <f>VLOOKUP(C441,'[1]2012-2013与2016-2018股票代码'!A:B,2,0)</f>
        <v>002509.SZ</v>
      </c>
      <c r="C441" s="4" t="s">
        <v>68</v>
      </c>
      <c r="D441" s="5">
        <v>42230</v>
      </c>
      <c r="E441" s="5">
        <v>42230</v>
      </c>
      <c r="G441" s="5">
        <v>42685</v>
      </c>
    </row>
    <row r="442" spans="1:7" x14ac:dyDescent="0.2">
      <c r="B442" t="str">
        <f>VLOOKUP(C442,'[1]2012-2013与2016-2018股票代码'!A:B,2,0)</f>
        <v>002103.SZ</v>
      </c>
      <c r="C442" s="4" t="s">
        <v>593</v>
      </c>
      <c r="D442" s="5">
        <v>42241</v>
      </c>
      <c r="E442" s="5">
        <v>42242</v>
      </c>
      <c r="G442" s="5">
        <v>42685</v>
      </c>
    </row>
    <row r="443" spans="1:7" x14ac:dyDescent="0.2">
      <c r="B443" t="str">
        <f>VLOOKUP(C443,'[1]2012-2013与2016-2018股票代码'!A:B,2,0)</f>
        <v>300432.SZ</v>
      </c>
      <c r="C443" s="4" t="s">
        <v>594</v>
      </c>
      <c r="D443" s="5">
        <v>42241</v>
      </c>
      <c r="E443" s="5">
        <v>42242</v>
      </c>
      <c r="G443" s="5">
        <v>42685</v>
      </c>
    </row>
    <row r="444" spans="1:7" x14ac:dyDescent="0.2">
      <c r="B444" t="str">
        <f>VLOOKUP(C444,'[1]2012-2013与2016-2018股票代码'!A:B,2,0)</f>
        <v>300017.SZ</v>
      </c>
      <c r="C444" t="s">
        <v>595</v>
      </c>
      <c r="D444" s="5">
        <v>42191</v>
      </c>
      <c r="E444" s="5">
        <v>42191</v>
      </c>
      <c r="G444" s="5">
        <v>42632</v>
      </c>
    </row>
    <row r="445" spans="1:7" x14ac:dyDescent="0.2">
      <c r="B445" t="str">
        <f>VLOOKUP(C445,'[1]2012-2013与2016-2018股票代码'!A:B,2,0)</f>
        <v>300489.SZ</v>
      </c>
      <c r="C445" s="4" t="s">
        <v>327</v>
      </c>
      <c r="D445" s="5">
        <v>42209</v>
      </c>
      <c r="E445" s="5">
        <v>42209</v>
      </c>
      <c r="G445" s="5">
        <v>42632</v>
      </c>
    </row>
    <row r="446" spans="1:7" x14ac:dyDescent="0.2">
      <c r="B446" t="str">
        <f>VLOOKUP(C446,'[1]2012-2013与2016-2018股票代码'!A:B,2,0)</f>
        <v>300101.SZ</v>
      </c>
      <c r="C446" s="4" t="s">
        <v>596</v>
      </c>
      <c r="D446" s="5">
        <v>42212</v>
      </c>
      <c r="E446" s="5">
        <v>42213</v>
      </c>
      <c r="G446" s="5">
        <v>42632</v>
      </c>
    </row>
    <row r="447" spans="1:7" x14ac:dyDescent="0.2">
      <c r="B447" t="str">
        <f>VLOOKUP(C447,'[1]2012-2013与2016-2018股票代码'!A:B,2,0)</f>
        <v>300265.SZ</v>
      </c>
      <c r="C447" s="4" t="s">
        <v>597</v>
      </c>
      <c r="D447" s="5">
        <v>42130</v>
      </c>
      <c r="E447" s="5">
        <v>42150</v>
      </c>
      <c r="F447" s="4" t="s">
        <v>598</v>
      </c>
      <c r="G447" s="5">
        <v>42626</v>
      </c>
    </row>
    <row r="448" spans="1:7" ht="27" x14ac:dyDescent="0.2">
      <c r="B448" t="str">
        <f>VLOOKUP(C448,'[1]2012-2013与2016-2018股票代码'!A:B,2,0)</f>
        <v>300351.SZ</v>
      </c>
      <c r="C448" s="4" t="s">
        <v>599</v>
      </c>
      <c r="D448" s="5">
        <v>42094</v>
      </c>
      <c r="E448" s="5">
        <v>42094</v>
      </c>
      <c r="F448" s="4" t="s">
        <v>600</v>
      </c>
      <c r="G448" s="5">
        <v>42626</v>
      </c>
    </row>
    <row r="449" spans="2:7" x14ac:dyDescent="0.2">
      <c r="B449" t="str">
        <f>VLOOKUP(C449,'[1]2012-2013与2016-2018股票代码'!A:B,2,0)</f>
        <v>300351.SZ</v>
      </c>
      <c r="C449" s="4" t="s">
        <v>599</v>
      </c>
      <c r="D449" s="5">
        <v>42097</v>
      </c>
      <c r="E449" s="5">
        <v>42097</v>
      </c>
      <c r="F449" s="7"/>
      <c r="G449" s="5">
        <v>42626</v>
      </c>
    </row>
    <row r="450" spans="2:7" x14ac:dyDescent="0.2">
      <c r="B450" t="str">
        <f>VLOOKUP(C450,'[1]2012-2013与2016-2018股票代码'!A:B,2,0)</f>
        <v>300351.SZ</v>
      </c>
      <c r="C450" s="4" t="s">
        <v>599</v>
      </c>
      <c r="D450" s="5">
        <v>42103</v>
      </c>
      <c r="E450" s="5">
        <v>42103</v>
      </c>
      <c r="F450" s="7"/>
      <c r="G450" s="5">
        <v>42626</v>
      </c>
    </row>
    <row r="451" spans="2:7" x14ac:dyDescent="0.2">
      <c r="B451" t="str">
        <f>VLOOKUP(C451,'[1]2012-2013与2016-2018股票代码'!A:B,2,0)</f>
        <v>300351.SZ</v>
      </c>
      <c r="C451" s="4" t="s">
        <v>599</v>
      </c>
      <c r="D451" s="5">
        <v>42104</v>
      </c>
      <c r="E451" s="5">
        <v>42104</v>
      </c>
      <c r="F451" s="7"/>
      <c r="G451" s="5">
        <v>42626</v>
      </c>
    </row>
    <row r="452" spans="2:7" x14ac:dyDescent="0.2">
      <c r="B452" t="str">
        <f>VLOOKUP(C452,'[1]2012-2013与2016-2018股票代码'!A:B,2,0)</f>
        <v>300351.SZ</v>
      </c>
      <c r="C452" s="4" t="s">
        <v>599</v>
      </c>
      <c r="D452" s="5">
        <v>42109</v>
      </c>
      <c r="E452" s="5">
        <v>42109</v>
      </c>
      <c r="F452" s="7"/>
      <c r="G452" s="5">
        <v>42626</v>
      </c>
    </row>
    <row r="453" spans="2:7" x14ac:dyDescent="0.2">
      <c r="B453" t="str">
        <f>VLOOKUP(C453,'[1]2012-2013与2016-2018股票代码'!A:B,2,0)</f>
        <v>300351.SZ</v>
      </c>
      <c r="C453" s="4" t="s">
        <v>599</v>
      </c>
      <c r="D453" s="5">
        <v>42110</v>
      </c>
      <c r="E453" s="5">
        <v>42110</v>
      </c>
      <c r="F453" s="7"/>
      <c r="G453" s="5">
        <v>42626</v>
      </c>
    </row>
    <row r="454" spans="2:7" x14ac:dyDescent="0.2">
      <c r="B454" t="str">
        <f>VLOOKUP(C454,'[1]2012-2013与2016-2018股票代码'!A:B,2,0)</f>
        <v>300170.SZ</v>
      </c>
      <c r="C454" s="4" t="s">
        <v>601</v>
      </c>
      <c r="D454" s="7">
        <v>42146</v>
      </c>
      <c r="E454" s="7">
        <v>42146</v>
      </c>
      <c r="F454" s="7">
        <v>42146</v>
      </c>
      <c r="G454" s="5">
        <v>42626</v>
      </c>
    </row>
    <row r="455" spans="2:7" x14ac:dyDescent="0.2">
      <c r="B455" t="str">
        <f>VLOOKUP(C455,'[1]2012-2013与2016-2018股票代码'!A:B,2,0)</f>
        <v>002538.SZ</v>
      </c>
      <c r="C455" s="4" t="s">
        <v>602</v>
      </c>
      <c r="D455" s="7">
        <v>42069</v>
      </c>
      <c r="E455" s="7">
        <v>42069</v>
      </c>
      <c r="F455" t="s">
        <v>603</v>
      </c>
      <c r="G455" s="5">
        <v>42626</v>
      </c>
    </row>
    <row r="456" spans="2:7" x14ac:dyDescent="0.2">
      <c r="B456" t="str">
        <f>VLOOKUP(C456,'[1]2012-2013与2016-2018股票代码'!A:B,2,0)</f>
        <v>002538.SZ</v>
      </c>
      <c r="C456" s="4" t="s">
        <v>602</v>
      </c>
      <c r="D456" s="7">
        <v>42072</v>
      </c>
      <c r="E456" s="7">
        <v>42072</v>
      </c>
      <c r="G456" s="5">
        <v>42626</v>
      </c>
    </row>
    <row r="457" spans="2:7" x14ac:dyDescent="0.2">
      <c r="B457" t="str">
        <f>VLOOKUP(C457,'[1]2012-2013与2016-2018股票代码'!A:B,2,0)</f>
        <v>002538.SZ</v>
      </c>
      <c r="C457" s="4" t="s">
        <v>602</v>
      </c>
      <c r="D457" s="7">
        <v>42073</v>
      </c>
      <c r="E457" s="7">
        <v>42073</v>
      </c>
      <c r="G457" s="5">
        <v>42626</v>
      </c>
    </row>
    <row r="458" spans="2:7" x14ac:dyDescent="0.2">
      <c r="B458" t="str">
        <f>VLOOKUP(C458,'[1]2012-2013与2016-2018股票代码'!A:B,2,0)</f>
        <v>300184.SZ</v>
      </c>
      <c r="C458" s="4" t="s">
        <v>604</v>
      </c>
      <c r="D458" s="7">
        <v>42114</v>
      </c>
      <c r="E458" s="7">
        <v>42114</v>
      </c>
      <c r="F458" t="s">
        <v>605</v>
      </c>
      <c r="G458" s="5">
        <v>42626</v>
      </c>
    </row>
    <row r="459" spans="2:7" x14ac:dyDescent="0.2">
      <c r="B459" t="str">
        <f>VLOOKUP(C459,'[1]2012-2013与2016-2018股票代码'!A:B,2,0)</f>
        <v>300184.SZ</v>
      </c>
      <c r="C459" s="4" t="s">
        <v>604</v>
      </c>
      <c r="D459" s="7">
        <v>42115</v>
      </c>
      <c r="E459" s="7">
        <v>42115</v>
      </c>
      <c r="G459" s="5">
        <v>42626</v>
      </c>
    </row>
    <row r="460" spans="2:7" x14ac:dyDescent="0.2">
      <c r="B460" t="str">
        <f>VLOOKUP(C460,'[1]2012-2013与2016-2018股票代码'!A:B,2,0)</f>
        <v>300184.SZ</v>
      </c>
      <c r="C460" s="4" t="s">
        <v>604</v>
      </c>
      <c r="D460" s="7">
        <v>42117</v>
      </c>
      <c r="E460" s="7">
        <v>42117</v>
      </c>
      <c r="G460" s="5">
        <v>42626</v>
      </c>
    </row>
    <row r="461" spans="2:7" x14ac:dyDescent="0.2">
      <c r="B461" t="str">
        <f>VLOOKUP(C461,'[1]2012-2013与2016-2018股票代码'!A:B,2,0)</f>
        <v>300328.SZ</v>
      </c>
      <c r="C461" s="4" t="s">
        <v>606</v>
      </c>
      <c r="D461" s="7">
        <v>42102</v>
      </c>
      <c r="E461" s="7">
        <v>42103</v>
      </c>
      <c r="G461" s="5">
        <v>42626</v>
      </c>
    </row>
    <row r="462" spans="2:7" x14ac:dyDescent="0.2">
      <c r="B462" t="str">
        <f>VLOOKUP(C462,'[1]2012-2013与2016-2018股票代码'!A:B,2,0)</f>
        <v>300388.SZ</v>
      </c>
      <c r="C462" s="4" t="s">
        <v>415</v>
      </c>
      <c r="D462" s="7">
        <v>42139</v>
      </c>
      <c r="E462" s="7">
        <v>42139</v>
      </c>
      <c r="F462" t="s">
        <v>607</v>
      </c>
      <c r="G462" s="5">
        <v>42626</v>
      </c>
    </row>
    <row r="463" spans="2:7" x14ac:dyDescent="0.2">
      <c r="B463" t="str">
        <f>VLOOKUP(C463,'[1]2012-2013与2016-2018股票代码'!A:B,2,0)</f>
        <v>300388.SZ</v>
      </c>
      <c r="C463" s="4" t="s">
        <v>415</v>
      </c>
      <c r="D463" s="7">
        <v>42143</v>
      </c>
      <c r="E463" s="7">
        <v>42143</v>
      </c>
      <c r="G463" s="5">
        <v>42626</v>
      </c>
    </row>
    <row r="464" spans="2:7" x14ac:dyDescent="0.2">
      <c r="B464" t="str">
        <f>VLOOKUP(C464,'[1]2012-2013与2016-2018股票代码'!A:B,2,0)</f>
        <v>300388.SZ</v>
      </c>
      <c r="C464" s="4" t="s">
        <v>415</v>
      </c>
      <c r="D464" s="7">
        <v>42145</v>
      </c>
      <c r="E464" s="7">
        <v>42145</v>
      </c>
      <c r="G464" s="5">
        <v>42626</v>
      </c>
    </row>
    <row r="465" spans="2:7" x14ac:dyDescent="0.2">
      <c r="B465" t="str">
        <f>VLOOKUP(C465,'[1]2012-2013与2016-2018股票代码'!A:B,2,0)</f>
        <v>300388.SZ</v>
      </c>
      <c r="C465" s="4" t="s">
        <v>415</v>
      </c>
      <c r="D465" s="7">
        <v>42149</v>
      </c>
      <c r="E465" s="7">
        <v>42149</v>
      </c>
      <c r="G465" s="5">
        <v>42626</v>
      </c>
    </row>
    <row r="466" spans="2:7" x14ac:dyDescent="0.2">
      <c r="B466" t="str">
        <f>VLOOKUP(C466,'[1]2012-2013与2016-2018股票代码'!A:B,2,0)</f>
        <v>300413.SZ</v>
      </c>
      <c r="C466" s="4" t="s">
        <v>608</v>
      </c>
      <c r="D466" s="7">
        <v>42052</v>
      </c>
      <c r="E466" s="7">
        <v>42052</v>
      </c>
      <c r="F466" t="s">
        <v>609</v>
      </c>
      <c r="G466" s="5">
        <v>42626</v>
      </c>
    </row>
    <row r="467" spans="2:7" x14ac:dyDescent="0.2">
      <c r="B467" t="str">
        <f>VLOOKUP(C467,'[1]2012-2013与2016-2018股票代码'!A:B,2,0)</f>
        <v>300413.SZ</v>
      </c>
      <c r="C467" s="4" t="s">
        <v>608</v>
      </c>
      <c r="D467" s="7">
        <v>42143</v>
      </c>
      <c r="E467" s="7">
        <v>42144</v>
      </c>
      <c r="G467" s="5">
        <v>42626</v>
      </c>
    </row>
    <row r="468" spans="2:7" x14ac:dyDescent="0.2">
      <c r="B468" t="str">
        <f>VLOOKUP(C468,'[1]2012-2013与2016-2018股票代码'!A:B,2,0)</f>
        <v>300413.SZ</v>
      </c>
      <c r="C468" s="4" t="s">
        <v>608</v>
      </c>
      <c r="D468" s="7">
        <v>42150</v>
      </c>
      <c r="E468" s="7">
        <v>42153</v>
      </c>
      <c r="G468" s="5">
        <v>42626</v>
      </c>
    </row>
    <row r="469" spans="2:7" x14ac:dyDescent="0.2">
      <c r="B469" t="str">
        <f>VLOOKUP(C469,'[1]2012-2013与2016-2018股票代码'!A:B,2,0)</f>
        <v>300413.SZ</v>
      </c>
      <c r="C469" s="4" t="s">
        <v>608</v>
      </c>
      <c r="D469" s="7">
        <v>42158</v>
      </c>
      <c r="E469" s="7">
        <v>42158</v>
      </c>
      <c r="G469" s="5">
        <v>42626</v>
      </c>
    </row>
    <row r="470" spans="2:7" x14ac:dyDescent="0.2">
      <c r="B470" t="str">
        <f>VLOOKUP(C470,'[1]2012-2013与2016-2018股票代码'!A:B,2,0)</f>
        <v>300413.SZ</v>
      </c>
      <c r="C470" s="4" t="s">
        <v>608</v>
      </c>
      <c r="D470" s="7">
        <v>42160</v>
      </c>
      <c r="E470" s="7">
        <v>42160</v>
      </c>
      <c r="G470" s="5">
        <v>42626</v>
      </c>
    </row>
    <row r="471" spans="2:7" x14ac:dyDescent="0.2">
      <c r="B471" t="str">
        <f>VLOOKUP(C471,'[1]2012-2013与2016-2018股票代码'!A:B,2,0)</f>
        <v>002182.SZ</v>
      </c>
      <c r="C471" s="4" t="s">
        <v>610</v>
      </c>
      <c r="D471" s="5">
        <v>42096</v>
      </c>
      <c r="E471" s="5">
        <v>42096</v>
      </c>
      <c r="G471" s="5">
        <v>42626</v>
      </c>
    </row>
    <row r="472" spans="2:7" x14ac:dyDescent="0.2">
      <c r="B472" t="str">
        <f>VLOOKUP(C472,'[1]2012-2013与2016-2018股票代码'!A:B,2,0)</f>
        <v>300055.SZ</v>
      </c>
      <c r="C472" s="4" t="s">
        <v>611</v>
      </c>
      <c r="D472" s="7">
        <v>42123</v>
      </c>
      <c r="E472" s="7">
        <v>42123</v>
      </c>
      <c r="F472" t="s">
        <v>612</v>
      </c>
      <c r="G472" s="5">
        <v>42626</v>
      </c>
    </row>
    <row r="473" spans="2:7" x14ac:dyDescent="0.2">
      <c r="B473" t="str">
        <f>VLOOKUP(C473,'[1]2012-2013与2016-2018股票代码'!A:B,2,0)</f>
        <v>300055.SZ</v>
      </c>
      <c r="C473" s="4" t="s">
        <v>611</v>
      </c>
      <c r="D473" s="7">
        <v>42131</v>
      </c>
      <c r="E473" s="7">
        <v>42132</v>
      </c>
      <c r="G473" s="5">
        <v>42626</v>
      </c>
    </row>
    <row r="474" spans="2:7" x14ac:dyDescent="0.2">
      <c r="B474" t="str">
        <f>VLOOKUP(C474,'[1]2012-2013与2016-2018股票代码'!A:B,2,0)</f>
        <v>300407.SZ</v>
      </c>
      <c r="C474" s="4" t="s">
        <v>613</v>
      </c>
      <c r="D474" s="7">
        <v>42146</v>
      </c>
      <c r="E474" s="7">
        <v>42146</v>
      </c>
      <c r="F474" t="s">
        <v>614</v>
      </c>
      <c r="G474" s="5">
        <v>42626</v>
      </c>
    </row>
    <row r="475" spans="2:7" x14ac:dyDescent="0.2">
      <c r="B475" t="str">
        <f>VLOOKUP(C475,'[1]2012-2013与2016-2018股票代码'!A:B,2,0)</f>
        <v>300407.SZ</v>
      </c>
      <c r="C475" s="4" t="s">
        <v>613</v>
      </c>
      <c r="D475" s="7">
        <v>42151</v>
      </c>
      <c r="E475" s="7">
        <v>42151</v>
      </c>
      <c r="F475" s="5"/>
      <c r="G475" s="5">
        <v>42626</v>
      </c>
    </row>
    <row r="476" spans="2:7" x14ac:dyDescent="0.2">
      <c r="B476" t="str">
        <f>VLOOKUP(C476,'[1]2012-2013与2016-2018股票代码'!A:B,2,0)</f>
        <v>300407.SZ</v>
      </c>
      <c r="C476" s="4" t="s">
        <v>613</v>
      </c>
      <c r="D476" s="7">
        <v>42156</v>
      </c>
      <c r="E476" s="7">
        <v>42157</v>
      </c>
      <c r="F476" s="5"/>
      <c r="G476" s="5">
        <v>42626</v>
      </c>
    </row>
    <row r="477" spans="2:7" x14ac:dyDescent="0.2">
      <c r="B477" t="str">
        <f>VLOOKUP(C477,'[1]2012-2013与2016-2018股票代码'!A:B,2,0)</f>
        <v>300407.SZ</v>
      </c>
      <c r="C477" s="4" t="s">
        <v>613</v>
      </c>
      <c r="D477" s="7">
        <v>42178</v>
      </c>
      <c r="E477" s="7">
        <v>42178</v>
      </c>
      <c r="F477" s="5"/>
      <c r="G477" s="5">
        <v>42626</v>
      </c>
    </row>
    <row r="478" spans="2:7" x14ac:dyDescent="0.2">
      <c r="B478" t="str">
        <f>VLOOKUP(C478,'[1]2012-2013与2016-2018股票代码'!A:B,2,0)</f>
        <v>300407.SZ</v>
      </c>
      <c r="C478" s="4" t="s">
        <v>613</v>
      </c>
      <c r="D478" s="7">
        <v>42180</v>
      </c>
      <c r="E478" s="7">
        <v>42180</v>
      </c>
      <c r="F478" s="5"/>
      <c r="G478" s="5">
        <v>42626</v>
      </c>
    </row>
    <row r="479" spans="2:7" x14ac:dyDescent="0.2">
      <c r="B479" t="str">
        <f>VLOOKUP(C479,'[1]2012-2013与2016-2018股票代码'!A:B,2,0)</f>
        <v>300407.SZ</v>
      </c>
      <c r="C479" s="4" t="s">
        <v>613</v>
      </c>
      <c r="D479" s="7">
        <v>42185</v>
      </c>
      <c r="E479" s="7">
        <v>42185</v>
      </c>
      <c r="F479" s="5"/>
      <c r="G479" s="5">
        <v>42626</v>
      </c>
    </row>
    <row r="480" spans="2:7" x14ac:dyDescent="0.2">
      <c r="B480" t="str">
        <f>VLOOKUP(C480,'[1]2012-2013与2016-2018股票代码'!A:B,2,0)</f>
        <v>300407.SZ</v>
      </c>
      <c r="C480" s="4" t="s">
        <v>613</v>
      </c>
      <c r="D480" s="7">
        <v>42187</v>
      </c>
      <c r="E480" s="7">
        <v>42187</v>
      </c>
      <c r="F480" s="5"/>
      <c r="G480" s="5">
        <v>42626</v>
      </c>
    </row>
    <row r="481" spans="1:7" x14ac:dyDescent="0.2">
      <c r="B481" t="str">
        <f>VLOOKUP(C481,'[1]2012-2013与2016-2018股票代码'!A:B,2,0)</f>
        <v>002268.SZ</v>
      </c>
      <c r="C481" s="4" t="s">
        <v>615</v>
      </c>
      <c r="D481" s="5">
        <v>42087</v>
      </c>
      <c r="E481" s="5">
        <v>42087</v>
      </c>
      <c r="F481" s="5">
        <v>42087</v>
      </c>
      <c r="G481" s="5">
        <v>42626</v>
      </c>
    </row>
    <row r="482" spans="1:7" x14ac:dyDescent="0.2">
      <c r="A482">
        <v>2016100</v>
      </c>
      <c r="B482" t="str">
        <f>VLOOKUP(C482,'[1]2012-2013与2016-2018股票代码'!A:B,2,0)</f>
        <v>000902.SZ</v>
      </c>
      <c r="C482" s="4" t="s">
        <v>616</v>
      </c>
      <c r="D482" s="5">
        <v>41870</v>
      </c>
      <c r="E482" s="5">
        <v>41907</v>
      </c>
      <c r="F482" t="s">
        <v>617</v>
      </c>
      <c r="G482" s="5">
        <v>42598</v>
      </c>
    </row>
    <row r="483" spans="1:7" x14ac:dyDescent="0.2">
      <c r="B483" t="str">
        <f>VLOOKUP(C483,'[1]2012-2013与2016-2018股票代码'!A:B,2,0)</f>
        <v>002501.SZ</v>
      </c>
      <c r="C483" s="4" t="s">
        <v>618</v>
      </c>
      <c r="D483" s="5">
        <v>41334</v>
      </c>
      <c r="E483" s="5">
        <v>41337</v>
      </c>
      <c r="G483" s="5">
        <v>42563</v>
      </c>
    </row>
    <row r="484" spans="1:7" x14ac:dyDescent="0.2">
      <c r="B484" t="str">
        <f>VLOOKUP(C484,'[1]2012-2013与2016-2018股票代码'!A:B,2,0)</f>
        <v>002276.SZ</v>
      </c>
      <c r="C484" s="4" t="s">
        <v>619</v>
      </c>
      <c r="D484" s="5">
        <v>41341</v>
      </c>
      <c r="E484" s="5">
        <v>41344</v>
      </c>
      <c r="G484" s="5">
        <v>42563</v>
      </c>
    </row>
    <row r="485" spans="1:7" x14ac:dyDescent="0.2">
      <c r="B485" t="str">
        <f>VLOOKUP(C485,'[1]2012-2013与2016-2018股票代码'!A:B,2,0)</f>
        <v>300318.SZ</v>
      </c>
      <c r="C485" s="4" t="s">
        <v>620</v>
      </c>
      <c r="D485" s="5">
        <v>41382</v>
      </c>
      <c r="E485" s="5">
        <v>41383</v>
      </c>
      <c r="G485" s="5">
        <v>42563</v>
      </c>
    </row>
    <row r="486" spans="1:7" x14ac:dyDescent="0.2">
      <c r="B486" t="str">
        <f>VLOOKUP(C486,'[1]2012-2013与2016-2018股票代码'!A:B,2,0)</f>
        <v>002312.SZ</v>
      </c>
      <c r="C486" s="4" t="s">
        <v>621</v>
      </c>
      <c r="D486" s="5">
        <v>41409</v>
      </c>
      <c r="E486" s="5">
        <v>41414</v>
      </c>
      <c r="G486" s="5">
        <v>42563</v>
      </c>
    </row>
    <row r="487" spans="1:7" x14ac:dyDescent="0.2">
      <c r="B487" t="str">
        <f>VLOOKUP(C487,'[1]2012-2013与2016-2018股票代码'!A:B,2,0)</f>
        <v>300223.SZ</v>
      </c>
      <c r="C487" s="4" t="s">
        <v>622</v>
      </c>
      <c r="D487" s="5">
        <v>41460</v>
      </c>
      <c r="E487" s="5">
        <v>41463</v>
      </c>
      <c r="G487" s="5">
        <v>42563</v>
      </c>
    </row>
    <row r="488" spans="1:7" x14ac:dyDescent="0.2">
      <c r="B488" t="str">
        <f>VLOOKUP(C488,'[1]2012-2013与2016-2018股票代码'!A:B,2,0)</f>
        <v>000030.SZ</v>
      </c>
      <c r="C488" s="4" t="s">
        <v>623</v>
      </c>
      <c r="D488" s="5">
        <v>41810</v>
      </c>
      <c r="E488" s="5">
        <v>41813</v>
      </c>
      <c r="G488" s="5">
        <v>42563</v>
      </c>
    </row>
    <row r="489" spans="1:7" x14ac:dyDescent="0.2">
      <c r="B489" t="str">
        <f>VLOOKUP(C489,'[1]2012-2013与2016-2018股票代码'!A:B,2,0)</f>
        <v>002386.SZ</v>
      </c>
      <c r="C489" s="4" t="s">
        <v>624</v>
      </c>
      <c r="D489" s="5">
        <v>41852</v>
      </c>
      <c r="E489" s="5">
        <v>41855</v>
      </c>
      <c r="G489" s="5">
        <v>42563</v>
      </c>
    </row>
    <row r="490" spans="1:7" x14ac:dyDescent="0.2">
      <c r="B490" t="str">
        <f>VLOOKUP(C490,'[1]2012-2013与2016-2018股票代码'!A:B,2,0)</f>
        <v>600822.SH</v>
      </c>
      <c r="C490" s="4" t="s">
        <v>625</v>
      </c>
      <c r="D490" s="5">
        <v>41858</v>
      </c>
      <c r="E490" s="5">
        <v>41862</v>
      </c>
      <c r="G490" s="5">
        <v>42563</v>
      </c>
    </row>
    <row r="491" spans="1:7" x14ac:dyDescent="0.2">
      <c r="B491" t="str">
        <f>VLOOKUP(C491,'[1]2012-2013与2016-2018股票代码'!A:B,2,0)</f>
        <v>000678.SZ</v>
      </c>
      <c r="C491" s="4" t="s">
        <v>626</v>
      </c>
      <c r="D491" s="5">
        <v>41866</v>
      </c>
      <c r="E491" s="5">
        <v>41869</v>
      </c>
      <c r="G491" s="5">
        <v>42563</v>
      </c>
    </row>
    <row r="492" spans="1:7" x14ac:dyDescent="0.2">
      <c r="B492" t="str">
        <f>VLOOKUP(C492,'[1]2012-2013与2016-2018股票代码'!A:B,2,0)</f>
        <v>002361.SZ</v>
      </c>
      <c r="C492" s="4" t="s">
        <v>627</v>
      </c>
      <c r="D492" s="5">
        <v>41872</v>
      </c>
      <c r="E492" s="5">
        <v>41876</v>
      </c>
      <c r="G492" s="5">
        <v>42563</v>
      </c>
    </row>
    <row r="493" spans="1:7" x14ac:dyDescent="0.2">
      <c r="B493" t="str">
        <f>VLOOKUP(C493,'[1]2012-2013与2016-2018股票代码'!A:B,2,0)</f>
        <v>002749.SZ</v>
      </c>
      <c r="C493" s="4" t="s">
        <v>628</v>
      </c>
      <c r="D493" s="7">
        <v>42188</v>
      </c>
      <c r="E493" s="7">
        <v>42188</v>
      </c>
      <c r="G493" s="5">
        <v>42527</v>
      </c>
    </row>
    <row r="494" spans="1:7" x14ac:dyDescent="0.2">
      <c r="B494" t="str">
        <f>VLOOKUP(C494,'[1]2012-2013与2016-2018股票代码'!A:B,2,0)</f>
        <v>002749.SZ</v>
      </c>
      <c r="C494" s="4" t="s">
        <v>628</v>
      </c>
      <c r="D494" s="7">
        <v>42190</v>
      </c>
      <c r="E494" s="7">
        <v>42190</v>
      </c>
      <c r="G494" s="5">
        <v>42527</v>
      </c>
    </row>
    <row r="495" spans="1:7" x14ac:dyDescent="0.2">
      <c r="B495" t="str">
        <f>VLOOKUP(C495,'[1]2012-2013与2016-2018股票代码'!A:B,2,0)</f>
        <v>000004.SZ</v>
      </c>
      <c r="C495" s="4" t="s">
        <v>592</v>
      </c>
      <c r="D495" s="7">
        <v>42184</v>
      </c>
      <c r="E495" s="7">
        <v>42184</v>
      </c>
      <c r="G495" s="5">
        <v>42527</v>
      </c>
    </row>
    <row r="496" spans="1:7" x14ac:dyDescent="0.2">
      <c r="B496" t="str">
        <f>VLOOKUP(C496,'[1]2012-2013与2016-2018股票代码'!A:B,2,0)</f>
        <v>300176.SZ</v>
      </c>
      <c r="C496" s="4" t="s">
        <v>629</v>
      </c>
      <c r="D496" s="7">
        <v>42212</v>
      </c>
      <c r="E496" s="7">
        <v>42212</v>
      </c>
      <c r="G496" s="5">
        <v>42527</v>
      </c>
    </row>
    <row r="497" spans="1:8" x14ac:dyDescent="0.2">
      <c r="B497" t="str">
        <f>VLOOKUP(C497,'[1]2012-2013与2016-2018股票代码'!A:B,2,0)</f>
        <v>000803.SZ</v>
      </c>
      <c r="C497" s="4" t="s">
        <v>630</v>
      </c>
      <c r="D497" s="7">
        <v>42200</v>
      </c>
      <c r="E497" s="7">
        <v>42200</v>
      </c>
      <c r="G497" s="5">
        <v>42527</v>
      </c>
    </row>
    <row r="498" spans="1:8" x14ac:dyDescent="0.2">
      <c r="B498" t="str">
        <f>VLOOKUP(C498,'[1]2012-2013与2016-2018股票代码'!A:B,2,0)</f>
        <v>300340.SZ</v>
      </c>
      <c r="C498" s="4" t="s">
        <v>631</v>
      </c>
      <c r="D498" s="7">
        <v>42221</v>
      </c>
      <c r="E498" s="7">
        <v>42221</v>
      </c>
      <c r="G498" s="5">
        <v>42527</v>
      </c>
    </row>
    <row r="499" spans="1:8" x14ac:dyDescent="0.2">
      <c r="B499" t="str">
        <f>VLOOKUP(C499,'[1]2012-2013与2016-2018股票代码'!A:B,2,0)</f>
        <v>300268.SZ</v>
      </c>
      <c r="C499" s="4" t="s">
        <v>632</v>
      </c>
      <c r="D499" s="7">
        <v>42219</v>
      </c>
      <c r="E499" s="7">
        <v>42219</v>
      </c>
      <c r="G499" s="5">
        <v>42527</v>
      </c>
    </row>
    <row r="500" spans="1:8" x14ac:dyDescent="0.2">
      <c r="B500" t="str">
        <f>VLOOKUP(C500,'[1]2012-2013与2016-2018股票代码'!A:B,2,0)</f>
        <v>300268.SZ</v>
      </c>
      <c r="C500" s="4" t="s">
        <v>632</v>
      </c>
      <c r="D500" s="7">
        <v>42234</v>
      </c>
      <c r="E500" s="7">
        <v>42234</v>
      </c>
      <c r="G500" s="5">
        <v>42527</v>
      </c>
    </row>
    <row r="501" spans="1:8" x14ac:dyDescent="0.2">
      <c r="B501" t="str">
        <f>VLOOKUP(C501,'[1]2012-2013与2016-2018股票代码'!A:B,2,0)</f>
        <v>600175.SH</v>
      </c>
      <c r="C501" t="s">
        <v>633</v>
      </c>
      <c r="D501" s="7">
        <v>42145</v>
      </c>
      <c r="E501" s="7">
        <v>42145</v>
      </c>
      <c r="F501" s="8">
        <v>45433</v>
      </c>
      <c r="G501" s="5">
        <v>42527</v>
      </c>
    </row>
    <row r="502" spans="1:8" x14ac:dyDescent="0.2">
      <c r="B502" t="str">
        <f>VLOOKUP(C502,'[1]2012-2013与2016-2018股票代码'!A:B,2,0)</f>
        <v>603688.SH</v>
      </c>
      <c r="C502" s="4" t="s">
        <v>634</v>
      </c>
      <c r="D502" s="7">
        <v>42184</v>
      </c>
      <c r="E502" s="7">
        <v>42184</v>
      </c>
      <c r="F502" s="8">
        <v>45472</v>
      </c>
      <c r="G502" s="5">
        <v>42527</v>
      </c>
    </row>
    <row r="503" spans="1:8" x14ac:dyDescent="0.2">
      <c r="B503" t="str">
        <f>VLOOKUP(C503,'[1]2012-2013与2016-2018股票代码'!A:B,2,0)</f>
        <v>603688.SH</v>
      </c>
      <c r="C503" s="4" t="s">
        <v>634</v>
      </c>
      <c r="D503" s="7">
        <v>42216</v>
      </c>
      <c r="E503" s="7">
        <v>42216</v>
      </c>
      <c r="G503" s="5">
        <v>42527</v>
      </c>
    </row>
    <row r="504" spans="1:8" x14ac:dyDescent="0.2">
      <c r="B504" t="str">
        <f>VLOOKUP(C504,'[1]2012-2013与2016-2018股票代码'!A:B,2,0)</f>
        <v>600971.SH</v>
      </c>
      <c r="C504" t="s">
        <v>333</v>
      </c>
      <c r="D504" s="5">
        <v>42065</v>
      </c>
      <c r="E504" s="5">
        <v>42065</v>
      </c>
      <c r="G504" s="5">
        <v>42527</v>
      </c>
    </row>
    <row r="505" spans="1:8" x14ac:dyDescent="0.2">
      <c r="B505" t="str">
        <f>VLOOKUP(C505,'[1]2012-2013与2016-2018股票代码'!A:B,2,0)</f>
        <v>600110.SH</v>
      </c>
      <c r="C505" s="4" t="s">
        <v>635</v>
      </c>
      <c r="D505" s="5">
        <v>42086</v>
      </c>
      <c r="E505" s="5">
        <v>42086</v>
      </c>
      <c r="G505" s="5">
        <v>42527</v>
      </c>
    </row>
    <row r="506" spans="1:8" x14ac:dyDescent="0.2">
      <c r="B506" t="str">
        <f>VLOOKUP(C506,'[1]2012-2013与2016-2018股票代码'!A:B,2,0)</f>
        <v>600006.SH</v>
      </c>
      <c r="C506" s="4" t="s">
        <v>636</v>
      </c>
      <c r="D506" s="5">
        <v>42095</v>
      </c>
      <c r="E506" s="5">
        <v>42095</v>
      </c>
      <c r="G506" s="5">
        <v>42527</v>
      </c>
    </row>
    <row r="507" spans="1:8" x14ac:dyDescent="0.2">
      <c r="B507" t="str">
        <f>VLOOKUP(C507,'[1]2012-2013与2016-2018股票代码'!A:B,2,0)</f>
        <v>600569.SH</v>
      </c>
      <c r="C507" s="4" t="s">
        <v>637</v>
      </c>
      <c r="D507" s="5">
        <v>42146</v>
      </c>
      <c r="E507" s="5">
        <v>42146</v>
      </c>
      <c r="G507" s="5">
        <v>42527</v>
      </c>
    </row>
    <row r="508" spans="1:8" x14ac:dyDescent="0.2">
      <c r="A508">
        <v>201673</v>
      </c>
      <c r="B508" t="str">
        <f>VLOOKUP(C508,'[1]2012-2013与2016-2018股票代码'!A:B,2,0)</f>
        <v>002322.SZ</v>
      </c>
      <c r="C508" s="4" t="s">
        <v>638</v>
      </c>
      <c r="D508" s="5">
        <v>41869</v>
      </c>
      <c r="E508" s="5">
        <v>41869</v>
      </c>
      <c r="G508" s="5">
        <v>42520</v>
      </c>
      <c r="H508" t="s">
        <v>131</v>
      </c>
    </row>
    <row r="509" spans="1:8" x14ac:dyDescent="0.2">
      <c r="B509" t="str">
        <f>VLOOKUP(C509,'[1]2012-2013与2016-2018股票代码'!A:B,2,0)</f>
        <v>002322.SZ</v>
      </c>
      <c r="C509" s="4" t="s">
        <v>638</v>
      </c>
      <c r="D509" s="5">
        <v>41878</v>
      </c>
      <c r="E509" s="5">
        <v>41878</v>
      </c>
      <c r="G509" s="5">
        <v>42520</v>
      </c>
    </row>
    <row r="510" spans="1:8" x14ac:dyDescent="0.2">
      <c r="B510" t="str">
        <f>VLOOKUP(C510,'[1]2012-2013与2016-2018股票代码'!A:B,2,0)</f>
        <v>002322.SZ</v>
      </c>
      <c r="C510" s="4" t="s">
        <v>638</v>
      </c>
      <c r="D510" s="5">
        <v>42033</v>
      </c>
      <c r="E510" s="5">
        <v>42033</v>
      </c>
      <c r="G510" s="5">
        <v>42520</v>
      </c>
    </row>
    <row r="511" spans="1:8" x14ac:dyDescent="0.2">
      <c r="B511" t="str">
        <f>VLOOKUP(C511,'[1]2012-2013与2016-2018股票代码'!A:B,2,0)</f>
        <v>000728.SZ</v>
      </c>
      <c r="C511" t="s">
        <v>639</v>
      </c>
      <c r="D511" s="5">
        <v>42187</v>
      </c>
      <c r="E511" s="5">
        <v>42187</v>
      </c>
      <c r="G511" s="5">
        <v>42516</v>
      </c>
      <c r="H511" t="s">
        <v>352</v>
      </c>
    </row>
    <row r="512" spans="1:8" x14ac:dyDescent="0.2">
      <c r="B512" t="str">
        <f>VLOOKUP(C512,'[1]2012-2013与2016-2018股票代码'!A:B,2,0)</f>
        <v>000728.SZ</v>
      </c>
      <c r="C512" t="s">
        <v>639</v>
      </c>
      <c r="D512" s="5">
        <v>42200</v>
      </c>
      <c r="E512" s="5">
        <v>42200</v>
      </c>
      <c r="G512" s="5">
        <v>42516</v>
      </c>
    </row>
    <row r="513" spans="1:8" x14ac:dyDescent="0.2">
      <c r="B513" t="str">
        <f>VLOOKUP(C513,'[1]2012-2013与2016-2018股票代码'!A:B,2,0)</f>
        <v>000728.SZ</v>
      </c>
      <c r="C513" t="s">
        <v>639</v>
      </c>
      <c r="D513" s="5">
        <v>42206</v>
      </c>
      <c r="E513" s="5">
        <v>42206</v>
      </c>
      <c r="G513" s="5">
        <v>42516</v>
      </c>
    </row>
    <row r="514" spans="1:8" x14ac:dyDescent="0.2">
      <c r="B514" t="str">
        <f>VLOOKUP(C514,'[1]2012-2013与2016-2018股票代码'!A:B,2,0)</f>
        <v>000728.SZ</v>
      </c>
      <c r="C514" t="s">
        <v>639</v>
      </c>
      <c r="D514" s="5">
        <v>42213</v>
      </c>
      <c r="E514" s="5">
        <v>42213</v>
      </c>
      <c r="G514" s="5">
        <v>42516</v>
      </c>
    </row>
    <row r="515" spans="1:8" x14ac:dyDescent="0.2">
      <c r="B515" t="str">
        <f>VLOOKUP(C515,'[1]2012-2013与2016-2018股票代码'!A:B,2,0)</f>
        <v>000623.SZ</v>
      </c>
      <c r="C515" s="4" t="s">
        <v>640</v>
      </c>
      <c r="D515" s="5">
        <v>42173</v>
      </c>
      <c r="E515" s="5">
        <v>42174</v>
      </c>
      <c r="G515" s="5">
        <v>42516</v>
      </c>
      <c r="H515" t="s">
        <v>405</v>
      </c>
    </row>
    <row r="516" spans="1:8" x14ac:dyDescent="0.2">
      <c r="B516" t="str">
        <f>VLOOKUP(C516,'[1]2012-2013与2016-2018股票代码'!A:B,2,0)</f>
        <v>000623.SZ</v>
      </c>
      <c r="C516" s="4" t="s">
        <v>640</v>
      </c>
      <c r="D516" s="5">
        <v>42184</v>
      </c>
      <c r="E516" s="5">
        <v>42185</v>
      </c>
      <c r="G516" s="5">
        <v>42516</v>
      </c>
    </row>
    <row r="517" spans="1:8" x14ac:dyDescent="0.2">
      <c r="B517" t="str">
        <f>VLOOKUP(C517,'[1]2012-2013与2016-2018股票代码'!A:B,2,0)</f>
        <v>000623.SZ</v>
      </c>
      <c r="C517" s="4" t="s">
        <v>640</v>
      </c>
      <c r="D517" s="5">
        <v>42187</v>
      </c>
      <c r="E517" s="5">
        <v>42187</v>
      </c>
      <c r="G517" s="5">
        <v>42516</v>
      </c>
    </row>
    <row r="518" spans="1:8" x14ac:dyDescent="0.2">
      <c r="A518">
        <v>201670</v>
      </c>
      <c r="B518" t="str">
        <f>VLOOKUP(C518,'[1]2012-2013与2016-2018股票代码'!A:B,2,0)</f>
        <v>002673.SZ</v>
      </c>
      <c r="C518" s="4" t="s">
        <v>641</v>
      </c>
      <c r="D518" s="5">
        <v>42219</v>
      </c>
      <c r="E518" s="5">
        <v>42219</v>
      </c>
      <c r="G518" s="5">
        <v>42516</v>
      </c>
    </row>
    <row r="519" spans="1:8" x14ac:dyDescent="0.2">
      <c r="B519" t="str">
        <f>VLOOKUP(C519,'[1]2012-2013与2016-2018股票代码'!A:B,2,0)</f>
        <v>002034.SZ</v>
      </c>
      <c r="C519" t="s">
        <v>642</v>
      </c>
      <c r="D519" s="5">
        <v>41257</v>
      </c>
      <c r="E519" s="5">
        <v>41261</v>
      </c>
      <c r="F519" s="4" t="s">
        <v>643</v>
      </c>
      <c r="G519" s="5">
        <v>42509</v>
      </c>
      <c r="H519" t="s">
        <v>12</v>
      </c>
    </row>
    <row r="520" spans="1:8" x14ac:dyDescent="0.2">
      <c r="B520" t="str">
        <f>VLOOKUP(C520,'[1]2012-2013与2016-2018股票代码'!A:B,2,0)</f>
        <v>002034.SZ</v>
      </c>
      <c r="C520" t="s">
        <v>642</v>
      </c>
      <c r="D520" s="5">
        <v>41304</v>
      </c>
      <c r="E520" s="5">
        <v>41310</v>
      </c>
      <c r="F520" s="4" t="s">
        <v>644</v>
      </c>
      <c r="G520" s="5">
        <v>42509</v>
      </c>
    </row>
    <row r="521" spans="1:8" x14ac:dyDescent="0.2">
      <c r="B521" t="str">
        <f>VLOOKUP(C521,'[1]2012-2013与2016-2018股票代码'!A:B,2,0)</f>
        <v>300092.SZ</v>
      </c>
      <c r="C521" s="4" t="s">
        <v>645</v>
      </c>
      <c r="D521" s="5">
        <v>41260</v>
      </c>
      <c r="E521" s="5">
        <v>41263</v>
      </c>
      <c r="F521" s="4" t="s">
        <v>646</v>
      </c>
      <c r="G521" s="5">
        <v>42509</v>
      </c>
      <c r="H521" t="s">
        <v>12</v>
      </c>
    </row>
    <row r="522" spans="1:8" x14ac:dyDescent="0.2">
      <c r="B522" t="str">
        <f>VLOOKUP(C522,'[1]2012-2013与2016-2018股票代码'!A:B,2,0)</f>
        <v>300092.SZ</v>
      </c>
      <c r="C522" s="4" t="s">
        <v>645</v>
      </c>
      <c r="D522" s="5">
        <v>41278</v>
      </c>
      <c r="E522" s="5">
        <v>41283</v>
      </c>
      <c r="F522" s="4" t="s">
        <v>647</v>
      </c>
      <c r="G522" s="5">
        <v>42509</v>
      </c>
    </row>
    <row r="523" spans="1:8" x14ac:dyDescent="0.2">
      <c r="B523" t="str">
        <f>VLOOKUP(C523,'[1]2012-2013与2016-2018股票代码'!A:B,2,0)</f>
        <v>300120.SZ</v>
      </c>
      <c r="C523" s="4" t="s">
        <v>648</v>
      </c>
      <c r="D523" s="5">
        <v>41268</v>
      </c>
      <c r="E523" s="5">
        <v>41270</v>
      </c>
      <c r="F523" s="4" t="s">
        <v>649</v>
      </c>
      <c r="G523" s="5">
        <v>42509</v>
      </c>
      <c r="H523" t="s">
        <v>12</v>
      </c>
    </row>
    <row r="524" spans="1:8" x14ac:dyDescent="0.2">
      <c r="B524" t="str">
        <f>VLOOKUP(C524,'[1]2012-2013与2016-2018股票代码'!A:B,2,0)</f>
        <v>300120.SZ</v>
      </c>
      <c r="C524" s="4" t="s">
        <v>648</v>
      </c>
      <c r="D524" s="5">
        <v>41323</v>
      </c>
      <c r="E524" s="5">
        <v>41326</v>
      </c>
      <c r="F524" s="4" t="s">
        <v>650</v>
      </c>
      <c r="G524" s="5">
        <v>42509</v>
      </c>
    </row>
    <row r="525" spans="1:8" x14ac:dyDescent="0.2">
      <c r="B525" t="str">
        <f>VLOOKUP(C525,'[1]2012-2013与2016-2018股票代码'!A:B,2,0)</f>
        <v>300153.SZ</v>
      </c>
      <c r="C525" s="4" t="s">
        <v>651</v>
      </c>
      <c r="D525" s="5">
        <v>41278</v>
      </c>
      <c r="E525" s="5">
        <v>41283</v>
      </c>
      <c r="F525" s="4" t="s">
        <v>647</v>
      </c>
      <c r="G525" s="5">
        <v>42509</v>
      </c>
    </row>
    <row r="526" spans="1:8" x14ac:dyDescent="0.2">
      <c r="B526" t="str">
        <f>VLOOKUP(C526,'[1]2012-2013与2016-2018股票代码'!A:B,2,0)</f>
        <v>002425.SZ</v>
      </c>
      <c r="C526" s="4" t="s">
        <v>652</v>
      </c>
      <c r="D526" s="5">
        <v>41261</v>
      </c>
      <c r="E526" s="5">
        <v>41264</v>
      </c>
      <c r="F526" s="4" t="s">
        <v>653</v>
      </c>
      <c r="G526" s="5">
        <v>42509</v>
      </c>
    </row>
    <row r="527" spans="1:8" x14ac:dyDescent="0.2">
      <c r="B527" t="str">
        <f>VLOOKUP(C527,'[1]2012-2013与2016-2018股票代码'!A:B,2,0)</f>
        <v>300242.SZ</v>
      </c>
      <c r="C527" s="4" t="s">
        <v>414</v>
      </c>
      <c r="D527" s="5">
        <v>41261</v>
      </c>
      <c r="E527" s="5">
        <v>41269</v>
      </c>
      <c r="F527" s="4" t="s">
        <v>654</v>
      </c>
      <c r="G527" s="5">
        <v>42509</v>
      </c>
    </row>
    <row r="528" spans="1:8" x14ac:dyDescent="0.2">
      <c r="B528" t="str">
        <f>VLOOKUP(C528,'[1]2012-2013与2016-2018股票代码'!A:B,2,0)</f>
        <v>002451.SZ</v>
      </c>
      <c r="C528" s="4" t="s">
        <v>655</v>
      </c>
      <c r="D528" s="5">
        <v>41303</v>
      </c>
      <c r="E528" s="5">
        <v>41305</v>
      </c>
      <c r="F528" s="4" t="s">
        <v>656</v>
      </c>
      <c r="G528" s="5">
        <v>42509</v>
      </c>
      <c r="H528" t="s">
        <v>12</v>
      </c>
    </row>
    <row r="529" spans="1:8" x14ac:dyDescent="0.2">
      <c r="B529" t="str">
        <f>VLOOKUP(C529,'[1]2012-2013与2016-2018股票代码'!A:B,2,0)</f>
        <v>002451.SZ</v>
      </c>
      <c r="C529" s="4" t="s">
        <v>655</v>
      </c>
      <c r="D529" s="5">
        <v>41330</v>
      </c>
      <c r="E529" s="5">
        <v>41337</v>
      </c>
      <c r="F529" s="4" t="s">
        <v>657</v>
      </c>
      <c r="G529" s="5">
        <v>42509</v>
      </c>
    </row>
    <row r="530" spans="1:8" x14ac:dyDescent="0.2">
      <c r="B530" t="str">
        <f>VLOOKUP(C530,'[1]2012-2013与2016-2018股票代码'!A:B,2,0)</f>
        <v>300063.SZ</v>
      </c>
      <c r="C530" s="4" t="s">
        <v>658</v>
      </c>
      <c r="D530" s="5">
        <v>41281</v>
      </c>
      <c r="E530" s="5">
        <v>41285</v>
      </c>
      <c r="F530" s="4" t="s">
        <v>659</v>
      </c>
      <c r="G530" s="5">
        <v>42509</v>
      </c>
    </row>
    <row r="531" spans="1:8" x14ac:dyDescent="0.2">
      <c r="B531" t="str">
        <f>VLOOKUP(C531,'[1]2012-2013与2016-2018股票代码'!A:B,2,0)</f>
        <v>300040.SZ</v>
      </c>
      <c r="C531" t="s">
        <v>660</v>
      </c>
      <c r="D531" s="5">
        <v>41757</v>
      </c>
      <c r="E531" s="5">
        <v>41757</v>
      </c>
      <c r="G531" s="5">
        <v>42508</v>
      </c>
    </row>
    <row r="532" spans="1:8" x14ac:dyDescent="0.2">
      <c r="B532" t="str">
        <f>VLOOKUP(C532,'[1]2012-2013与2016-2018股票代码'!A:B,2,0)</f>
        <v>300149.SZ</v>
      </c>
      <c r="C532" s="4" t="s">
        <v>661</v>
      </c>
      <c r="D532" s="5">
        <v>41767</v>
      </c>
      <c r="E532" s="5">
        <v>41768</v>
      </c>
      <c r="F532" t="s">
        <v>662</v>
      </c>
      <c r="G532" s="5">
        <v>42508</v>
      </c>
      <c r="H532" t="s">
        <v>12</v>
      </c>
    </row>
    <row r="533" spans="1:8" x14ac:dyDescent="0.2">
      <c r="B533" t="str">
        <f>VLOOKUP(C533,'[1]2012-2013与2016-2018股票代码'!A:B,2,0)</f>
        <v>300149.SZ</v>
      </c>
      <c r="C533" s="4" t="s">
        <v>661</v>
      </c>
      <c r="D533" s="5">
        <v>41780</v>
      </c>
      <c r="E533" s="5">
        <v>41780</v>
      </c>
      <c r="G533" s="5">
        <v>42508</v>
      </c>
    </row>
    <row r="534" spans="1:8" x14ac:dyDescent="0.2">
      <c r="B534" t="str">
        <f>VLOOKUP(C534,'[1]2012-2013与2016-2018股票代码'!A:B,2,0)</f>
        <v>300378.SZ</v>
      </c>
      <c r="C534" s="4" t="s">
        <v>231</v>
      </c>
      <c r="D534" s="7">
        <v>41884</v>
      </c>
      <c r="E534" s="7">
        <v>41885</v>
      </c>
      <c r="G534" s="5">
        <v>42508</v>
      </c>
    </row>
    <row r="535" spans="1:8" x14ac:dyDescent="0.2">
      <c r="B535" t="str">
        <f>VLOOKUP(C535,'[1]2012-2013与2016-2018股票代码'!A:B,2,0)</f>
        <v>600258.SH</v>
      </c>
      <c r="C535" t="s">
        <v>663</v>
      </c>
      <c r="D535" s="5">
        <v>41540</v>
      </c>
      <c r="E535" s="5">
        <v>41878</v>
      </c>
      <c r="F535" t="s">
        <v>664</v>
      </c>
      <c r="G535" s="5">
        <v>42496</v>
      </c>
    </row>
    <row r="536" spans="1:8" x14ac:dyDescent="0.2">
      <c r="B536" t="str">
        <f>VLOOKUP(C536,'[1]2012-2013与2016-2018股票代码'!A:B,2,0)</f>
        <v>002191.SZ</v>
      </c>
      <c r="C536" s="4" t="s">
        <v>665</v>
      </c>
      <c r="D536" s="5">
        <v>41415</v>
      </c>
      <c r="E536" s="5">
        <v>41751</v>
      </c>
      <c r="F536" s="4" t="s">
        <v>666</v>
      </c>
      <c r="G536" s="5">
        <v>42496</v>
      </c>
    </row>
    <row r="537" spans="1:8" x14ac:dyDescent="0.2">
      <c r="B537" t="str">
        <f>VLOOKUP(C537,'[1]2012-2013与2016-2018股票代码'!A:B,2,0)</f>
        <v>002461.SZ</v>
      </c>
      <c r="C537" s="4" t="s">
        <v>667</v>
      </c>
      <c r="D537" s="5">
        <v>41648</v>
      </c>
      <c r="E537" s="5">
        <v>41927</v>
      </c>
      <c r="F537" s="4" t="s">
        <v>668</v>
      </c>
      <c r="G537" s="5">
        <v>42496</v>
      </c>
    </row>
    <row r="538" spans="1:8" x14ac:dyDescent="0.2">
      <c r="A538">
        <v>201651</v>
      </c>
      <c r="B538" t="str">
        <f>VLOOKUP(C538,'[1]2012-2013与2016-2018股票代码'!A:B,2,0)</f>
        <v>600960.SH</v>
      </c>
      <c r="C538" s="4" t="s">
        <v>669</v>
      </c>
      <c r="D538" s="5">
        <v>41857</v>
      </c>
      <c r="E538" s="5">
        <v>42128</v>
      </c>
      <c r="F538" s="4" t="s">
        <v>670</v>
      </c>
      <c r="G538" s="5">
        <v>42485</v>
      </c>
    </row>
    <row r="539" spans="1:8" x14ac:dyDescent="0.2">
      <c r="B539" t="str">
        <f>VLOOKUP(C539,'[1]2012-2013与2016-2018股票代码'!A:B,2,0)</f>
        <v>000025.SZ</v>
      </c>
      <c r="C539" t="s">
        <v>506</v>
      </c>
      <c r="D539" s="5">
        <v>42195</v>
      </c>
      <c r="E539" s="5">
        <v>42244</v>
      </c>
      <c r="F539" t="s">
        <v>671</v>
      </c>
      <c r="G539" s="5">
        <v>42485</v>
      </c>
    </row>
    <row r="540" spans="1:8" x14ac:dyDescent="0.2">
      <c r="B540" t="str">
        <f>VLOOKUP(C540,'[1]2012-2013与2016-2018股票代码'!A:B,2,0)</f>
        <v>002330.SZ</v>
      </c>
      <c r="C540" s="4" t="s">
        <v>348</v>
      </c>
      <c r="D540" s="5">
        <v>42205</v>
      </c>
      <c r="E540" s="5">
        <v>42244</v>
      </c>
      <c r="F540" t="s">
        <v>672</v>
      </c>
      <c r="G540" s="5">
        <v>42485</v>
      </c>
    </row>
    <row r="541" spans="1:8" x14ac:dyDescent="0.2">
      <c r="A541">
        <v>201642</v>
      </c>
      <c r="B541" t="str">
        <f>VLOOKUP(C541,'[1]2012-2013与2016-2018股票代码'!A:B,2,0)</f>
        <v>002210.SZ</v>
      </c>
      <c r="C541" s="4" t="s">
        <v>673</v>
      </c>
      <c r="D541" s="5">
        <v>42186</v>
      </c>
      <c r="E541" s="5">
        <v>42186</v>
      </c>
      <c r="G541" s="5">
        <v>42485</v>
      </c>
    </row>
    <row r="542" spans="1:8" x14ac:dyDescent="0.2">
      <c r="A542">
        <v>201639</v>
      </c>
      <c r="B542" t="str">
        <f>VLOOKUP(C542,'[1]2012-2013与2016-2018股票代码'!A:B,2,0)</f>
        <v>300174.SZ</v>
      </c>
      <c r="C542" s="4" t="s">
        <v>674</v>
      </c>
      <c r="D542" s="5">
        <v>41456</v>
      </c>
      <c r="E542" s="5">
        <v>41456</v>
      </c>
      <c r="G542" s="5">
        <v>42478</v>
      </c>
      <c r="H542" t="s">
        <v>405</v>
      </c>
    </row>
    <row r="543" spans="1:8" x14ac:dyDescent="0.2">
      <c r="B543" t="str">
        <f>VLOOKUP(C543,'[1]2012-2013与2016-2018股票代码'!A:B,2,0)</f>
        <v>300174.SZ</v>
      </c>
      <c r="C543" s="4" t="s">
        <v>674</v>
      </c>
      <c r="D543" s="5">
        <v>41487</v>
      </c>
      <c r="E543" s="5">
        <v>41487</v>
      </c>
      <c r="G543" s="5">
        <v>42478</v>
      </c>
    </row>
    <row r="544" spans="1:8" x14ac:dyDescent="0.2">
      <c r="B544" t="str">
        <f>VLOOKUP(C544,'[1]2012-2013与2016-2018股票代码'!A:B,2,0)</f>
        <v>300174.SZ</v>
      </c>
      <c r="C544" s="4" t="s">
        <v>674</v>
      </c>
      <c r="D544" s="5">
        <v>41506</v>
      </c>
      <c r="E544" s="5">
        <v>41507</v>
      </c>
      <c r="G544" s="5">
        <v>42478</v>
      </c>
    </row>
    <row r="545" spans="1:8" x14ac:dyDescent="0.2">
      <c r="B545" t="str">
        <f>VLOOKUP(C545,'[1]2012-2013与2016-2018股票代码'!A:B,2,0)</f>
        <v>300174.SZ</v>
      </c>
      <c r="C545" s="4" t="s">
        <v>674</v>
      </c>
      <c r="D545" s="5">
        <v>41571</v>
      </c>
      <c r="E545" s="5">
        <v>41571</v>
      </c>
      <c r="G545" s="5">
        <v>42478</v>
      </c>
    </row>
    <row r="546" spans="1:8" x14ac:dyDescent="0.2">
      <c r="B546" t="str">
        <f>VLOOKUP(C546,'[1]2012-2013与2016-2018股票代码'!A:B,2,0)</f>
        <v>300174.SZ</v>
      </c>
      <c r="C546" s="4" t="s">
        <v>674</v>
      </c>
      <c r="D546" s="5">
        <v>41535</v>
      </c>
      <c r="E546" s="5">
        <v>41535</v>
      </c>
      <c r="G546" s="5">
        <v>42478</v>
      </c>
    </row>
    <row r="547" spans="1:8" x14ac:dyDescent="0.2">
      <c r="B547" t="str">
        <f>VLOOKUP(C547,'[1]2012-2013与2016-2018股票代码'!A:B,2,0)</f>
        <v>002211.SZ</v>
      </c>
      <c r="C547" t="s">
        <v>675</v>
      </c>
      <c r="D547" s="5">
        <v>41788</v>
      </c>
      <c r="E547" s="5">
        <v>41982</v>
      </c>
      <c r="F547" t="s">
        <v>676</v>
      </c>
      <c r="G547" s="5">
        <v>42460</v>
      </c>
      <c r="H547" t="s">
        <v>677</v>
      </c>
    </row>
    <row r="548" spans="1:8" x14ac:dyDescent="0.2">
      <c r="B548" t="str">
        <f>VLOOKUP(C548,'[1]2012-2013与2016-2018股票代码'!A:B,2,0)</f>
        <v>002597.SZ</v>
      </c>
      <c r="C548" s="4" t="s">
        <v>678</v>
      </c>
      <c r="D548" s="5">
        <v>41946</v>
      </c>
      <c r="E548" s="5">
        <v>42080</v>
      </c>
      <c r="F548" t="s">
        <v>679</v>
      </c>
      <c r="G548" s="5">
        <v>42460</v>
      </c>
    </row>
    <row r="549" spans="1:8" x14ac:dyDescent="0.2">
      <c r="B549" t="str">
        <f>VLOOKUP(C549,'[1]2012-2013与2016-2018股票代码'!A:B,2,0)</f>
        <v>000582.SZ</v>
      </c>
      <c r="C549" t="s">
        <v>680</v>
      </c>
      <c r="D549" s="5">
        <v>41289</v>
      </c>
      <c r="E549" s="5">
        <v>41404</v>
      </c>
      <c r="F549" t="s">
        <v>681</v>
      </c>
      <c r="G549" s="5">
        <v>42446</v>
      </c>
    </row>
    <row r="550" spans="1:8" x14ac:dyDescent="0.2">
      <c r="B550" t="str">
        <f>VLOOKUP(C550,'[1]2012-2013与2016-2018股票代码'!A:B,2,0)</f>
        <v>601011.SH</v>
      </c>
      <c r="C550" s="4" t="s">
        <v>682</v>
      </c>
      <c r="D550" s="5">
        <v>41501</v>
      </c>
      <c r="E550" s="5">
        <v>41645</v>
      </c>
      <c r="F550" t="s">
        <v>683</v>
      </c>
      <c r="G550" s="5">
        <v>42446</v>
      </c>
    </row>
    <row r="551" spans="1:8" x14ac:dyDescent="0.2">
      <c r="B551" t="str">
        <f>VLOOKUP(C551,'[1]2012-2013与2016-2018股票代码'!A:B,2,0)</f>
        <v>600843.SH</v>
      </c>
      <c r="C551" s="4" t="s">
        <v>684</v>
      </c>
      <c r="D551" s="5">
        <v>41353</v>
      </c>
      <c r="E551" s="5">
        <v>41361</v>
      </c>
      <c r="F551" s="4" t="s">
        <v>685</v>
      </c>
      <c r="G551" s="5">
        <v>42388</v>
      </c>
    </row>
    <row r="552" spans="1:8" x14ac:dyDescent="0.2">
      <c r="B552" t="str">
        <f>VLOOKUP(C552,'[1]2012-2013与2016-2018股票代码'!A:B,2,0)</f>
        <v>600757.SH</v>
      </c>
      <c r="C552" s="4" t="s">
        <v>686</v>
      </c>
      <c r="D552" s="5">
        <v>41358</v>
      </c>
      <c r="E552" s="5">
        <v>41366</v>
      </c>
      <c r="F552" s="4" t="s">
        <v>687</v>
      </c>
      <c r="G552" s="5">
        <v>42388</v>
      </c>
    </row>
    <row r="553" spans="1:8" x14ac:dyDescent="0.2">
      <c r="B553" t="str">
        <f>VLOOKUP(C553,'[1]2012-2013与2016-2018股票代码'!A:B,2,0)</f>
        <v>601636.SH</v>
      </c>
      <c r="C553" s="4" t="s">
        <v>688</v>
      </c>
      <c r="D553" s="5">
        <v>41359</v>
      </c>
      <c r="E553" s="5">
        <v>41372</v>
      </c>
      <c r="F553" s="4" t="s">
        <v>689</v>
      </c>
      <c r="G553" s="5">
        <v>42388</v>
      </c>
    </row>
    <row r="554" spans="1:8" x14ac:dyDescent="0.2">
      <c r="A554">
        <v>201603</v>
      </c>
      <c r="B554" t="str">
        <f>VLOOKUP(C554,'[1]2012-2013与2016-2018股票代码'!A:B,2,0)</f>
        <v>000511.SZ</v>
      </c>
      <c r="C554" s="4" t="s">
        <v>690</v>
      </c>
      <c r="D554" s="5">
        <v>41012</v>
      </c>
      <c r="E554" s="5">
        <v>41274</v>
      </c>
      <c r="F554" t="s">
        <v>691</v>
      </c>
      <c r="G554" s="5">
        <v>42373</v>
      </c>
    </row>
    <row r="555" spans="1:8" x14ac:dyDescent="0.2">
      <c r="A555">
        <v>201598</v>
      </c>
      <c r="B555" t="s">
        <v>692</v>
      </c>
      <c r="C555" t="s">
        <v>693</v>
      </c>
      <c r="D555" s="5">
        <v>42075</v>
      </c>
      <c r="E555" s="5">
        <v>42086</v>
      </c>
      <c r="F555" t="s">
        <v>694</v>
      </c>
      <c r="G555" s="5">
        <v>42368</v>
      </c>
    </row>
    <row r="556" spans="1:8" x14ac:dyDescent="0.2">
      <c r="B556" t="s">
        <v>695</v>
      </c>
      <c r="C556" t="s">
        <v>696</v>
      </c>
      <c r="D556" s="5">
        <v>41557</v>
      </c>
      <c r="E556" s="5">
        <v>41592</v>
      </c>
      <c r="F556" t="s">
        <v>697</v>
      </c>
      <c r="G556" s="5">
        <v>42349</v>
      </c>
    </row>
    <row r="557" spans="1:8" x14ac:dyDescent="0.2">
      <c r="B557" t="s">
        <v>698</v>
      </c>
      <c r="C557" t="s">
        <v>699</v>
      </c>
      <c r="D557" s="5">
        <v>41667</v>
      </c>
      <c r="E557" s="5">
        <v>41725</v>
      </c>
      <c r="F557" t="s">
        <v>700</v>
      </c>
      <c r="G557" s="5">
        <v>42349</v>
      </c>
    </row>
    <row r="558" spans="1:8" x14ac:dyDescent="0.2">
      <c r="B558" t="s">
        <v>701</v>
      </c>
      <c r="C558" s="4" t="s">
        <v>702</v>
      </c>
      <c r="D558" s="5">
        <v>40870</v>
      </c>
      <c r="E558" s="5">
        <v>40871</v>
      </c>
      <c r="F558" t="s">
        <v>703</v>
      </c>
      <c r="G558" s="5">
        <v>42342</v>
      </c>
    </row>
    <row r="559" spans="1:8" x14ac:dyDescent="0.2">
      <c r="B559" t="s">
        <v>704</v>
      </c>
      <c r="C559" t="s">
        <v>705</v>
      </c>
      <c r="D559" s="5">
        <v>40919</v>
      </c>
      <c r="E559" s="5">
        <v>40919</v>
      </c>
      <c r="G559" s="5">
        <v>42342</v>
      </c>
    </row>
    <row r="560" spans="1:8" x14ac:dyDescent="0.2">
      <c r="B560" t="s">
        <v>706</v>
      </c>
      <c r="C560" s="4" t="s">
        <v>707</v>
      </c>
      <c r="D560" s="5">
        <v>40946</v>
      </c>
      <c r="E560" s="5">
        <v>40946</v>
      </c>
      <c r="G560" s="5">
        <v>42342</v>
      </c>
    </row>
    <row r="561" spans="2:8" x14ac:dyDescent="0.2">
      <c r="B561" t="s">
        <v>708</v>
      </c>
      <c r="C561" t="s">
        <v>709</v>
      </c>
      <c r="D561" s="5">
        <v>41016</v>
      </c>
      <c r="E561" s="5">
        <v>41016</v>
      </c>
      <c r="G561" s="5">
        <v>42342</v>
      </c>
    </row>
    <row r="562" spans="2:8" x14ac:dyDescent="0.2">
      <c r="B562" t="s">
        <v>710</v>
      </c>
      <c r="C562" t="s">
        <v>711</v>
      </c>
      <c r="D562" s="5">
        <v>41075</v>
      </c>
      <c r="E562" s="5">
        <v>41075</v>
      </c>
      <c r="G562" s="5">
        <v>42342</v>
      </c>
    </row>
    <row r="563" spans="2:8" x14ac:dyDescent="0.2">
      <c r="B563" t="s">
        <v>712</v>
      </c>
      <c r="C563" t="s">
        <v>713</v>
      </c>
      <c r="D563" s="5">
        <v>41143</v>
      </c>
      <c r="E563" s="5">
        <v>41143</v>
      </c>
      <c r="G563" s="5">
        <v>42342</v>
      </c>
    </row>
    <row r="564" spans="2:8" x14ac:dyDescent="0.2">
      <c r="B564" t="s">
        <v>714</v>
      </c>
      <c r="C564" s="5" t="s">
        <v>715</v>
      </c>
      <c r="D564" s="5">
        <v>41150</v>
      </c>
      <c r="E564" s="5">
        <v>41150</v>
      </c>
      <c r="G564" s="5">
        <v>42342</v>
      </c>
    </row>
    <row r="565" spans="2:8" x14ac:dyDescent="0.2">
      <c r="B565" t="s">
        <v>716</v>
      </c>
      <c r="C565" s="4" t="s">
        <v>717</v>
      </c>
      <c r="D565" s="5">
        <v>41253</v>
      </c>
      <c r="E565" s="5">
        <v>41253</v>
      </c>
      <c r="G565" s="5">
        <v>42342</v>
      </c>
      <c r="H565" t="s">
        <v>12</v>
      </c>
    </row>
    <row r="566" spans="2:8" x14ac:dyDescent="0.2">
      <c r="B566" t="s">
        <v>716</v>
      </c>
      <c r="C566" s="4" t="s">
        <v>717</v>
      </c>
      <c r="D566" s="5">
        <v>41267</v>
      </c>
      <c r="E566" s="5">
        <v>41267</v>
      </c>
      <c r="G566" s="5">
        <v>42342</v>
      </c>
    </row>
    <row r="567" spans="2:8" x14ac:dyDescent="0.2">
      <c r="B567" t="s">
        <v>718</v>
      </c>
      <c r="C567" t="s">
        <v>719</v>
      </c>
      <c r="D567" s="5">
        <v>41528</v>
      </c>
      <c r="E567" s="5">
        <v>41529</v>
      </c>
      <c r="G567" s="5">
        <v>42342</v>
      </c>
    </row>
    <row r="568" spans="2:8" x14ac:dyDescent="0.2">
      <c r="B568" t="s">
        <v>720</v>
      </c>
      <c r="C568" t="s">
        <v>721</v>
      </c>
      <c r="D568" s="5">
        <v>41585</v>
      </c>
      <c r="E568" s="5">
        <v>41585</v>
      </c>
      <c r="G568" s="5">
        <v>42342</v>
      </c>
    </row>
    <row r="569" spans="2:8" x14ac:dyDescent="0.2">
      <c r="B569" t="s">
        <v>722</v>
      </c>
      <c r="C569" t="s">
        <v>406</v>
      </c>
      <c r="D569" s="5">
        <v>41534</v>
      </c>
      <c r="E569" s="5">
        <v>41534</v>
      </c>
      <c r="G569" s="5">
        <v>42342</v>
      </c>
    </row>
    <row r="570" spans="2:8" x14ac:dyDescent="0.2">
      <c r="B570" t="s">
        <v>723</v>
      </c>
      <c r="C570" t="s">
        <v>724</v>
      </c>
      <c r="D570" s="5">
        <v>41451</v>
      </c>
      <c r="E570" s="5">
        <v>41451</v>
      </c>
      <c r="G570" s="5">
        <v>42342</v>
      </c>
    </row>
    <row r="571" spans="2:8" x14ac:dyDescent="0.2">
      <c r="B571" t="s">
        <v>725</v>
      </c>
      <c r="C571" t="s">
        <v>726</v>
      </c>
      <c r="D571" s="5">
        <v>41591</v>
      </c>
      <c r="E571" s="5">
        <v>41591</v>
      </c>
      <c r="G571" s="5">
        <v>42342</v>
      </c>
    </row>
    <row r="572" spans="2:8" x14ac:dyDescent="0.2">
      <c r="B572" t="s">
        <v>727</v>
      </c>
      <c r="C572" t="s">
        <v>728</v>
      </c>
      <c r="D572" s="5">
        <v>41541</v>
      </c>
      <c r="E572" s="5">
        <v>41541</v>
      </c>
      <c r="G572" s="5">
        <v>42342</v>
      </c>
    </row>
    <row r="573" spans="2:8" x14ac:dyDescent="0.2">
      <c r="B573" t="s">
        <v>729</v>
      </c>
      <c r="C573" s="4" t="s">
        <v>730</v>
      </c>
      <c r="D573" s="5">
        <v>41464</v>
      </c>
      <c r="E573" s="5">
        <v>41464</v>
      </c>
      <c r="G573" s="5">
        <v>42342</v>
      </c>
    </row>
    <row r="574" spans="2:8" x14ac:dyDescent="0.2">
      <c r="B574" t="s">
        <v>731</v>
      </c>
      <c r="C574" s="4" t="s">
        <v>732</v>
      </c>
      <c r="D574" s="5">
        <v>41486</v>
      </c>
      <c r="E574" s="5">
        <v>41486</v>
      </c>
      <c r="G574" s="5">
        <v>42342</v>
      </c>
      <c r="H574" t="s">
        <v>131</v>
      </c>
    </row>
    <row r="575" spans="2:8" x14ac:dyDescent="0.2">
      <c r="B575" t="s">
        <v>731</v>
      </c>
      <c r="C575" s="4" t="s">
        <v>732</v>
      </c>
      <c r="D575" s="5">
        <v>41491</v>
      </c>
      <c r="E575" s="5">
        <v>41491</v>
      </c>
      <c r="G575" s="5">
        <v>42342</v>
      </c>
    </row>
    <row r="576" spans="2:8" x14ac:dyDescent="0.2">
      <c r="B576" t="s">
        <v>731</v>
      </c>
      <c r="C576" s="4" t="s">
        <v>732</v>
      </c>
      <c r="D576" s="5">
        <v>41494</v>
      </c>
      <c r="E576" s="5">
        <v>41494</v>
      </c>
      <c r="G576" s="5">
        <v>42342</v>
      </c>
    </row>
    <row r="577" spans="2:7" x14ac:dyDescent="0.2">
      <c r="B577" t="s">
        <v>733</v>
      </c>
      <c r="C577" t="s">
        <v>734</v>
      </c>
      <c r="D577" s="5">
        <v>42080</v>
      </c>
      <c r="E577" s="5">
        <v>42090</v>
      </c>
      <c r="F577" t="s">
        <v>735</v>
      </c>
      <c r="G577" s="5">
        <v>42341</v>
      </c>
    </row>
    <row r="578" spans="2:7" x14ac:dyDescent="0.2">
      <c r="B578" t="s">
        <v>736</v>
      </c>
      <c r="C578" s="4" t="s">
        <v>737</v>
      </c>
      <c r="D578" s="5">
        <v>42061</v>
      </c>
      <c r="E578" s="5">
        <v>42072</v>
      </c>
      <c r="F578" t="s">
        <v>738</v>
      </c>
      <c r="G578" s="5">
        <v>42341</v>
      </c>
    </row>
    <row r="579" spans="2:7" x14ac:dyDescent="0.2">
      <c r="B579" t="s">
        <v>739</v>
      </c>
      <c r="C579" s="4" t="s">
        <v>740</v>
      </c>
      <c r="D579" s="5">
        <v>42086</v>
      </c>
      <c r="E579" s="5">
        <v>42097</v>
      </c>
      <c r="F579" s="4" t="s">
        <v>741</v>
      </c>
      <c r="G579" s="5">
        <v>42341</v>
      </c>
    </row>
    <row r="580" spans="2:7" x14ac:dyDescent="0.2">
      <c r="B580" t="s">
        <v>742</v>
      </c>
      <c r="C580" t="s">
        <v>743</v>
      </c>
      <c r="D580" s="5">
        <v>42075</v>
      </c>
      <c r="E580" s="5">
        <v>42088</v>
      </c>
      <c r="F580" t="s">
        <v>744</v>
      </c>
      <c r="G580" s="5">
        <v>42341</v>
      </c>
    </row>
    <row r="581" spans="2:7" x14ac:dyDescent="0.2">
      <c r="B581" t="s">
        <v>745</v>
      </c>
      <c r="C581" t="s">
        <v>746</v>
      </c>
      <c r="D581" s="5">
        <v>42072</v>
      </c>
      <c r="E581" s="5">
        <v>42081</v>
      </c>
      <c r="G581" s="5">
        <v>42341</v>
      </c>
    </row>
    <row r="582" spans="2:7" x14ac:dyDescent="0.2">
      <c r="B582" t="s">
        <v>747</v>
      </c>
      <c r="C582" t="s">
        <v>748</v>
      </c>
      <c r="D582" s="5">
        <v>42086</v>
      </c>
      <c r="E582" s="5">
        <v>42090</v>
      </c>
      <c r="F582" t="s">
        <v>749</v>
      </c>
      <c r="G582" s="5">
        <v>42341</v>
      </c>
    </row>
    <row r="583" spans="2:7" x14ac:dyDescent="0.2">
      <c r="B583" t="s">
        <v>750</v>
      </c>
      <c r="C583" s="4" t="s">
        <v>751</v>
      </c>
      <c r="D583" s="5">
        <v>42083</v>
      </c>
      <c r="E583" s="5">
        <v>42089</v>
      </c>
      <c r="F583" t="s">
        <v>752</v>
      </c>
      <c r="G583" s="5">
        <v>42341</v>
      </c>
    </row>
    <row r="584" spans="2:7" x14ac:dyDescent="0.2">
      <c r="B584" t="s">
        <v>753</v>
      </c>
      <c r="C584" t="s">
        <v>754</v>
      </c>
      <c r="D584" s="5">
        <v>42089</v>
      </c>
      <c r="E584" s="5">
        <v>42093</v>
      </c>
      <c r="F584" t="s">
        <v>755</v>
      </c>
      <c r="G584" s="5">
        <v>42341</v>
      </c>
    </row>
    <row r="585" spans="2:7" x14ac:dyDescent="0.2">
      <c r="B585" t="s">
        <v>756</v>
      </c>
      <c r="C585" t="s">
        <v>757</v>
      </c>
      <c r="D585" s="5">
        <v>42089</v>
      </c>
      <c r="E585" s="5">
        <v>42093</v>
      </c>
      <c r="F585" t="s">
        <v>755</v>
      </c>
      <c r="G585" s="5">
        <v>42341</v>
      </c>
    </row>
    <row r="586" spans="2:7" x14ac:dyDescent="0.2">
      <c r="B586" t="s">
        <v>758</v>
      </c>
      <c r="C586" t="s">
        <v>759</v>
      </c>
      <c r="D586" s="5">
        <v>42090</v>
      </c>
      <c r="E586" s="7">
        <v>42096</v>
      </c>
      <c r="G586" s="5">
        <v>42341</v>
      </c>
    </row>
    <row r="587" spans="2:7" x14ac:dyDescent="0.2">
      <c r="B587" t="s">
        <v>760</v>
      </c>
      <c r="C587" s="4" t="s">
        <v>761</v>
      </c>
      <c r="D587" s="5">
        <v>42013</v>
      </c>
      <c r="E587" s="7">
        <v>42093</v>
      </c>
      <c r="G587" s="5">
        <v>42341</v>
      </c>
    </row>
    <row r="588" spans="2:7" x14ac:dyDescent="0.2">
      <c r="B588" t="s">
        <v>762</v>
      </c>
      <c r="C588" t="s">
        <v>763</v>
      </c>
      <c r="D588" s="5">
        <v>42066</v>
      </c>
      <c r="E588" s="5">
        <v>42087</v>
      </c>
      <c r="F588" t="s">
        <v>764</v>
      </c>
      <c r="G588" s="5">
        <v>42341</v>
      </c>
    </row>
    <row r="589" spans="2:7" x14ac:dyDescent="0.2">
      <c r="B589" t="s">
        <v>765</v>
      </c>
      <c r="C589" s="4" t="s">
        <v>766</v>
      </c>
      <c r="D589" s="5">
        <v>42083</v>
      </c>
      <c r="E589" s="5">
        <v>42089</v>
      </c>
      <c r="F589" t="s">
        <v>752</v>
      </c>
      <c r="G589" s="5">
        <v>42341</v>
      </c>
    </row>
    <row r="590" spans="2:7" x14ac:dyDescent="0.2">
      <c r="B590" t="s">
        <v>767</v>
      </c>
      <c r="C590" t="s">
        <v>768</v>
      </c>
      <c r="D590" s="5">
        <v>42067</v>
      </c>
      <c r="E590" s="5">
        <v>42074</v>
      </c>
      <c r="F590" s="4" t="s">
        <v>769</v>
      </c>
      <c r="G590" s="5">
        <v>42341</v>
      </c>
    </row>
    <row r="591" spans="2:7" x14ac:dyDescent="0.2">
      <c r="B591" t="s">
        <v>770</v>
      </c>
      <c r="C591" s="4" t="s">
        <v>771</v>
      </c>
      <c r="D591" s="5">
        <v>42073</v>
      </c>
      <c r="E591" s="5">
        <v>42088</v>
      </c>
      <c r="F591" t="s">
        <v>772</v>
      </c>
      <c r="G591" s="5">
        <v>42341</v>
      </c>
    </row>
    <row r="592" spans="2:7" x14ac:dyDescent="0.2">
      <c r="B592" t="s">
        <v>773</v>
      </c>
      <c r="C592" t="s">
        <v>774</v>
      </c>
      <c r="D592" s="5">
        <v>42088</v>
      </c>
      <c r="E592" s="7">
        <v>42094</v>
      </c>
      <c r="G592" s="5">
        <v>42341</v>
      </c>
    </row>
    <row r="593" spans="1:8" x14ac:dyDescent="0.2">
      <c r="B593" t="s">
        <v>775</v>
      </c>
      <c r="C593" t="s">
        <v>776</v>
      </c>
      <c r="D593" s="5">
        <v>42082</v>
      </c>
      <c r="E593" s="5">
        <v>42088</v>
      </c>
      <c r="G593" s="5">
        <v>42341</v>
      </c>
    </row>
    <row r="594" spans="1:8" x14ac:dyDescent="0.2">
      <c r="B594" t="s">
        <v>777</v>
      </c>
      <c r="C594" t="s">
        <v>778</v>
      </c>
      <c r="D594" s="5">
        <v>42020</v>
      </c>
      <c r="E594" s="5">
        <v>42093</v>
      </c>
      <c r="F594" t="s">
        <v>779</v>
      </c>
      <c r="G594" s="5">
        <v>42341</v>
      </c>
    </row>
    <row r="595" spans="1:8" x14ac:dyDescent="0.2">
      <c r="A595">
        <v>201571</v>
      </c>
      <c r="B595" t="s">
        <v>780</v>
      </c>
      <c r="C595" t="s">
        <v>781</v>
      </c>
      <c r="D595" s="5">
        <v>42201</v>
      </c>
      <c r="E595" s="5">
        <v>42205</v>
      </c>
      <c r="F595" t="s">
        <v>782</v>
      </c>
      <c r="G595" s="5">
        <v>42320</v>
      </c>
    </row>
    <row r="596" spans="1:8" x14ac:dyDescent="0.2">
      <c r="B596" t="s">
        <v>783</v>
      </c>
      <c r="C596" t="s">
        <v>784</v>
      </c>
      <c r="D596" s="5">
        <v>42156</v>
      </c>
      <c r="E596" s="5">
        <v>42216</v>
      </c>
      <c r="F596" t="s">
        <v>785</v>
      </c>
      <c r="G596" s="5">
        <v>42320</v>
      </c>
    </row>
    <row r="597" spans="1:8" x14ac:dyDescent="0.2">
      <c r="B597" t="s">
        <v>786</v>
      </c>
      <c r="C597" t="s">
        <v>787</v>
      </c>
      <c r="D597" s="5">
        <v>42156</v>
      </c>
      <c r="E597" s="5">
        <v>42216</v>
      </c>
      <c r="G597" s="5">
        <v>42320</v>
      </c>
    </row>
    <row r="598" spans="1:8" x14ac:dyDescent="0.2">
      <c r="A598">
        <v>201569</v>
      </c>
      <c r="B598" t="s">
        <v>788</v>
      </c>
      <c r="C598" t="s">
        <v>789</v>
      </c>
      <c r="D598" s="5">
        <v>42156</v>
      </c>
      <c r="E598" s="5">
        <v>42216</v>
      </c>
      <c r="G598" s="5">
        <v>42320</v>
      </c>
    </row>
    <row r="599" spans="1:8" x14ac:dyDescent="0.2">
      <c r="B599" t="s">
        <v>790</v>
      </c>
      <c r="C599" t="s">
        <v>791</v>
      </c>
      <c r="D599" s="5">
        <v>42079</v>
      </c>
      <c r="E599" s="5">
        <v>42083</v>
      </c>
      <c r="F599" t="s">
        <v>792</v>
      </c>
      <c r="G599" s="5">
        <v>42320</v>
      </c>
    </row>
    <row r="600" spans="1:8" x14ac:dyDescent="0.2">
      <c r="B600" t="s">
        <v>793</v>
      </c>
      <c r="C600" t="s">
        <v>794</v>
      </c>
      <c r="D600" s="5">
        <v>42135</v>
      </c>
      <c r="E600" s="5">
        <v>42136</v>
      </c>
      <c r="G600" s="5">
        <v>42320</v>
      </c>
    </row>
    <row r="601" spans="1:8" x14ac:dyDescent="0.2">
      <c r="B601" t="s">
        <v>795</v>
      </c>
      <c r="C601" t="s">
        <v>796</v>
      </c>
      <c r="D601" s="5">
        <v>42034</v>
      </c>
      <c r="E601" s="5">
        <v>42034</v>
      </c>
      <c r="F601" t="s">
        <v>797</v>
      </c>
      <c r="G601" s="5">
        <v>42320</v>
      </c>
      <c r="H601" t="s">
        <v>131</v>
      </c>
    </row>
    <row r="602" spans="1:8" x14ac:dyDescent="0.2">
      <c r="B602" t="s">
        <v>795</v>
      </c>
      <c r="C602" t="s">
        <v>796</v>
      </c>
      <c r="D602" s="5">
        <v>42060</v>
      </c>
      <c r="E602" s="5">
        <v>42061</v>
      </c>
      <c r="G602" s="5">
        <v>42320</v>
      </c>
    </row>
    <row r="603" spans="1:8" x14ac:dyDescent="0.2">
      <c r="B603" t="s">
        <v>795</v>
      </c>
      <c r="C603" t="s">
        <v>796</v>
      </c>
      <c r="D603" s="5">
        <v>42068</v>
      </c>
      <c r="E603" s="5">
        <v>42068</v>
      </c>
      <c r="G603" s="5">
        <v>42320</v>
      </c>
    </row>
    <row r="604" spans="1:8" x14ac:dyDescent="0.2">
      <c r="B604" t="s">
        <v>798</v>
      </c>
      <c r="C604" t="s">
        <v>641</v>
      </c>
      <c r="D604" s="5">
        <v>42107</v>
      </c>
      <c r="E604" s="5">
        <v>42107</v>
      </c>
      <c r="G604" s="5">
        <v>42320</v>
      </c>
    </row>
    <row r="605" spans="1:8" x14ac:dyDescent="0.2">
      <c r="B605" t="s">
        <v>799</v>
      </c>
      <c r="C605" t="s">
        <v>800</v>
      </c>
      <c r="D605" s="5">
        <v>42080</v>
      </c>
      <c r="E605" s="5">
        <v>42080</v>
      </c>
      <c r="G605" s="5">
        <v>42320</v>
      </c>
    </row>
    <row r="606" spans="1:8" x14ac:dyDescent="0.2">
      <c r="B606" t="s">
        <v>801</v>
      </c>
      <c r="C606" s="4" t="s">
        <v>802</v>
      </c>
      <c r="D606" s="5">
        <v>42038</v>
      </c>
      <c r="E606" s="5">
        <v>42038</v>
      </c>
      <c r="G606" s="5">
        <v>42320</v>
      </c>
    </row>
    <row r="607" spans="1:8" x14ac:dyDescent="0.2">
      <c r="B607" t="s">
        <v>803</v>
      </c>
      <c r="C607" s="4" t="s">
        <v>231</v>
      </c>
      <c r="D607" s="7">
        <v>42051</v>
      </c>
      <c r="E607" s="7">
        <v>42051</v>
      </c>
      <c r="G607" s="5">
        <v>42320</v>
      </c>
    </row>
    <row r="608" spans="1:8" x14ac:dyDescent="0.2">
      <c r="B608" t="s">
        <v>804</v>
      </c>
      <c r="C608" s="4" t="s">
        <v>805</v>
      </c>
      <c r="D608" s="5">
        <v>42130</v>
      </c>
      <c r="E608" s="5">
        <v>42130</v>
      </c>
      <c r="G608" s="5">
        <v>42320</v>
      </c>
    </row>
    <row r="609" spans="1:8" x14ac:dyDescent="0.2">
      <c r="B609" t="s">
        <v>806</v>
      </c>
      <c r="C609" s="4" t="s">
        <v>807</v>
      </c>
      <c r="D609" s="5">
        <v>41976</v>
      </c>
      <c r="E609" s="5">
        <v>41976</v>
      </c>
      <c r="G609" s="5">
        <v>42320</v>
      </c>
    </row>
    <row r="610" spans="1:8" x14ac:dyDescent="0.2">
      <c r="B610" t="s">
        <v>808</v>
      </c>
      <c r="C610" t="s">
        <v>809</v>
      </c>
      <c r="D610" s="7">
        <v>42066</v>
      </c>
      <c r="E610" s="7">
        <v>42066</v>
      </c>
      <c r="G610" s="5">
        <v>42320</v>
      </c>
    </row>
    <row r="611" spans="1:8" x14ac:dyDescent="0.2">
      <c r="B611" t="s">
        <v>810</v>
      </c>
      <c r="C611" s="4" t="s">
        <v>811</v>
      </c>
      <c r="D611" s="5">
        <v>42082</v>
      </c>
      <c r="E611" s="5">
        <v>42082</v>
      </c>
      <c r="G611" s="5">
        <v>42320</v>
      </c>
    </row>
    <row r="612" spans="1:8" x14ac:dyDescent="0.2">
      <c r="B612" t="s">
        <v>812</v>
      </c>
      <c r="C612" s="4" t="s">
        <v>813</v>
      </c>
      <c r="D612" s="5">
        <v>42080</v>
      </c>
      <c r="E612" s="5">
        <v>42080</v>
      </c>
      <c r="G612" s="5">
        <v>42320</v>
      </c>
    </row>
    <row r="613" spans="1:8" x14ac:dyDescent="0.2">
      <c r="B613" t="s">
        <v>814</v>
      </c>
      <c r="C613" s="4" t="s">
        <v>815</v>
      </c>
      <c r="D613" s="5">
        <v>42024</v>
      </c>
      <c r="E613" s="5">
        <v>42024</v>
      </c>
      <c r="G613" s="5">
        <v>42320</v>
      </c>
    </row>
    <row r="614" spans="1:8" x14ac:dyDescent="0.2">
      <c r="A614">
        <v>201572</v>
      </c>
      <c r="B614" t="s">
        <v>804</v>
      </c>
      <c r="C614" s="4" t="s">
        <v>805</v>
      </c>
      <c r="D614" s="5">
        <v>42216</v>
      </c>
      <c r="E614" s="5">
        <v>42216</v>
      </c>
      <c r="G614" s="5">
        <v>42320</v>
      </c>
    </row>
    <row r="615" spans="1:8" x14ac:dyDescent="0.2">
      <c r="A615">
        <v>201561</v>
      </c>
      <c r="B615" t="s">
        <v>816</v>
      </c>
      <c r="C615" t="s">
        <v>817</v>
      </c>
      <c r="D615" s="5">
        <v>41213</v>
      </c>
      <c r="E615" s="5">
        <v>41463</v>
      </c>
      <c r="F615" t="s">
        <v>818</v>
      </c>
      <c r="G615" s="5">
        <v>42312</v>
      </c>
    </row>
    <row r="616" spans="1:8" x14ac:dyDescent="0.2">
      <c r="B616" t="s">
        <v>819</v>
      </c>
      <c r="C616" t="s">
        <v>820</v>
      </c>
      <c r="D616" s="5">
        <v>41306</v>
      </c>
      <c r="E616" s="5">
        <v>41310</v>
      </c>
      <c r="G616" s="5">
        <v>42310</v>
      </c>
      <c r="H616" t="s">
        <v>45</v>
      </c>
    </row>
    <row r="617" spans="1:8" x14ac:dyDescent="0.2">
      <c r="B617" t="s">
        <v>821</v>
      </c>
      <c r="C617" s="4" t="s">
        <v>822</v>
      </c>
      <c r="D617" s="5">
        <v>41306</v>
      </c>
      <c r="E617" s="5">
        <v>41310</v>
      </c>
      <c r="G617" s="5">
        <v>42310</v>
      </c>
    </row>
    <row r="618" spans="1:8" x14ac:dyDescent="0.2">
      <c r="B618" t="s">
        <v>823</v>
      </c>
      <c r="C618" t="s">
        <v>824</v>
      </c>
      <c r="D618" s="5">
        <v>41311</v>
      </c>
      <c r="E618" s="5">
        <v>41334</v>
      </c>
      <c r="F618" t="s">
        <v>825</v>
      </c>
      <c r="G618" s="5">
        <v>42307</v>
      </c>
    </row>
    <row r="619" spans="1:8" x14ac:dyDescent="0.2">
      <c r="B619" t="s">
        <v>826</v>
      </c>
      <c r="C619" s="4" t="s">
        <v>827</v>
      </c>
      <c r="D619" s="5">
        <v>41304</v>
      </c>
      <c r="E619" s="5">
        <v>41340</v>
      </c>
      <c r="F619" t="s">
        <v>828</v>
      </c>
      <c r="G619" s="5">
        <v>42307</v>
      </c>
    </row>
    <row r="620" spans="1:8" x14ac:dyDescent="0.2">
      <c r="B620" t="s">
        <v>829</v>
      </c>
      <c r="C620" t="s">
        <v>830</v>
      </c>
      <c r="D620" s="5">
        <v>41303</v>
      </c>
      <c r="E620" s="5">
        <v>41313</v>
      </c>
      <c r="F620" t="s">
        <v>831</v>
      </c>
      <c r="G620" s="5">
        <v>42307</v>
      </c>
    </row>
    <row r="621" spans="1:8" x14ac:dyDescent="0.2">
      <c r="A621">
        <v>201543</v>
      </c>
      <c r="B621" t="s">
        <v>832</v>
      </c>
      <c r="C621" t="s">
        <v>833</v>
      </c>
      <c r="D621" s="5">
        <v>42003</v>
      </c>
      <c r="E621" s="5">
        <v>42137</v>
      </c>
      <c r="F621" t="s">
        <v>834</v>
      </c>
      <c r="G621" s="5">
        <v>42285</v>
      </c>
    </row>
    <row r="622" spans="1:8" x14ac:dyDescent="0.2">
      <c r="A622">
        <v>201534</v>
      </c>
      <c r="B622" t="s">
        <v>835</v>
      </c>
      <c r="C622" s="4" t="s">
        <v>690</v>
      </c>
      <c r="D622" s="5">
        <v>41122</v>
      </c>
      <c r="E622" s="5">
        <v>41134</v>
      </c>
      <c r="F622" t="s">
        <v>836</v>
      </c>
      <c r="G622" s="5">
        <v>42272</v>
      </c>
      <c r="H622" t="s">
        <v>12</v>
      </c>
    </row>
    <row r="623" spans="1:8" x14ac:dyDescent="0.2">
      <c r="B623" t="s">
        <v>835</v>
      </c>
      <c r="C623" s="4" t="s">
        <v>690</v>
      </c>
      <c r="D623" s="5">
        <v>41158</v>
      </c>
      <c r="E623" s="5">
        <v>41162</v>
      </c>
      <c r="G623" s="5">
        <v>42272</v>
      </c>
    </row>
    <row r="624" spans="1:8" x14ac:dyDescent="0.2">
      <c r="A624">
        <v>201533</v>
      </c>
      <c r="B624" t="s">
        <v>837</v>
      </c>
      <c r="C624" t="s">
        <v>838</v>
      </c>
      <c r="D624" s="5">
        <v>41222</v>
      </c>
      <c r="E624" s="5">
        <v>41225</v>
      </c>
      <c r="G624" s="5">
        <v>42268</v>
      </c>
    </row>
    <row r="625" spans="1:7" x14ac:dyDescent="0.2">
      <c r="A625">
        <v>201478</v>
      </c>
      <c r="B625" t="s">
        <v>839</v>
      </c>
      <c r="C625" t="s">
        <v>840</v>
      </c>
      <c r="D625" s="5">
        <v>41046</v>
      </c>
      <c r="E625" s="5">
        <v>41050</v>
      </c>
      <c r="G625" s="5">
        <v>41883</v>
      </c>
    </row>
    <row r="626" spans="1:7" x14ac:dyDescent="0.2">
      <c r="A626">
        <v>201454</v>
      </c>
      <c r="B626" t="s">
        <v>841</v>
      </c>
      <c r="C626" t="s">
        <v>842</v>
      </c>
      <c r="D626" s="5">
        <v>40966</v>
      </c>
      <c r="E626" s="5">
        <v>40970</v>
      </c>
      <c r="F626" s="4" t="s">
        <v>843</v>
      </c>
      <c r="G626" s="5">
        <v>41786</v>
      </c>
    </row>
    <row r="627" spans="1:7" x14ac:dyDescent="0.2">
      <c r="A627">
        <v>201441</v>
      </c>
      <c r="B627" t="s">
        <v>844</v>
      </c>
      <c r="C627" t="s">
        <v>582</v>
      </c>
      <c r="D627" s="5">
        <v>40702</v>
      </c>
      <c r="E627" s="5">
        <v>40710</v>
      </c>
      <c r="F627" t="s">
        <v>845</v>
      </c>
      <c r="G627" s="5">
        <v>41758</v>
      </c>
    </row>
    <row r="628" spans="1:7" x14ac:dyDescent="0.2">
      <c r="A628">
        <v>201430</v>
      </c>
      <c r="B628" t="s">
        <v>846</v>
      </c>
      <c r="C628" t="s">
        <v>847</v>
      </c>
      <c r="D628" s="5">
        <v>40612</v>
      </c>
      <c r="E628" s="5">
        <v>40647</v>
      </c>
      <c r="F628" t="s">
        <v>848</v>
      </c>
      <c r="G628" s="5">
        <v>41708</v>
      </c>
    </row>
    <row r="629" spans="1:7" x14ac:dyDescent="0.2">
      <c r="B629" t="s">
        <v>849</v>
      </c>
      <c r="C629" t="s">
        <v>850</v>
      </c>
      <c r="D629" s="5">
        <v>40388</v>
      </c>
      <c r="E629" s="5">
        <v>40388</v>
      </c>
      <c r="G629" s="5">
        <v>41654</v>
      </c>
    </row>
    <row r="630" spans="1:7" x14ac:dyDescent="0.2">
      <c r="B630" t="s">
        <v>851</v>
      </c>
      <c r="C630" s="4" t="s">
        <v>852</v>
      </c>
      <c r="D630" s="5">
        <v>40466</v>
      </c>
      <c r="E630" s="5">
        <v>40466</v>
      </c>
      <c r="G630" s="5">
        <v>41654</v>
      </c>
    </row>
    <row r="631" spans="1:7" x14ac:dyDescent="0.2">
      <c r="B631" t="s">
        <v>853</v>
      </c>
      <c r="C631" t="s">
        <v>854</v>
      </c>
      <c r="D631" s="5">
        <v>40476</v>
      </c>
      <c r="E631" s="5">
        <v>40476</v>
      </c>
      <c r="G631" s="5">
        <v>41654</v>
      </c>
    </row>
    <row r="632" spans="1:7" x14ac:dyDescent="0.2">
      <c r="B632" t="s">
        <v>855</v>
      </c>
      <c r="C632" s="4" t="s">
        <v>856</v>
      </c>
      <c r="D632" s="5">
        <v>40514</v>
      </c>
      <c r="E632" s="5">
        <v>40514</v>
      </c>
      <c r="G632" s="5">
        <v>41654</v>
      </c>
    </row>
    <row r="633" spans="1:7" x14ac:dyDescent="0.2">
      <c r="B633" t="s">
        <v>857</v>
      </c>
      <c r="C633" t="s">
        <v>858</v>
      </c>
      <c r="D633" s="5">
        <v>40514</v>
      </c>
      <c r="E633" s="5">
        <v>40514</v>
      </c>
      <c r="G633" s="5">
        <v>41654</v>
      </c>
    </row>
    <row r="634" spans="1:7" x14ac:dyDescent="0.2">
      <c r="B634" t="s">
        <v>857</v>
      </c>
      <c r="C634" t="s">
        <v>858</v>
      </c>
      <c r="D634" s="5">
        <v>40520</v>
      </c>
      <c r="E634" s="5">
        <v>40520</v>
      </c>
      <c r="G634" s="5">
        <v>41654</v>
      </c>
    </row>
    <row r="635" spans="1:7" x14ac:dyDescent="0.2">
      <c r="B635" t="s">
        <v>853</v>
      </c>
      <c r="C635" t="s">
        <v>854</v>
      </c>
      <c r="D635" s="5">
        <v>40549</v>
      </c>
      <c r="E635" s="5">
        <v>40549</v>
      </c>
      <c r="G635" s="5">
        <v>41654</v>
      </c>
    </row>
    <row r="636" spans="1:7" x14ac:dyDescent="0.2">
      <c r="B636" t="s">
        <v>859</v>
      </c>
      <c r="C636" s="4" t="s">
        <v>860</v>
      </c>
      <c r="D636" s="5">
        <v>40605</v>
      </c>
      <c r="E636" s="5">
        <v>40605</v>
      </c>
      <c r="G636" s="5">
        <v>41654</v>
      </c>
    </row>
    <row r="637" spans="1:7" x14ac:dyDescent="0.2">
      <c r="B637" t="s">
        <v>861</v>
      </c>
      <c r="C637" s="4" t="s">
        <v>862</v>
      </c>
      <c r="D637" s="5">
        <v>40662</v>
      </c>
      <c r="E637" s="5">
        <v>40662</v>
      </c>
      <c r="G637" s="5">
        <v>41654</v>
      </c>
    </row>
    <row r="638" spans="1:7" x14ac:dyDescent="0.2">
      <c r="B638" t="s">
        <v>863</v>
      </c>
      <c r="C638" t="s">
        <v>864</v>
      </c>
      <c r="D638" s="5">
        <v>40777</v>
      </c>
      <c r="E638" s="5">
        <v>40777</v>
      </c>
      <c r="G638" s="5">
        <v>41654</v>
      </c>
    </row>
    <row r="639" spans="1:7" x14ac:dyDescent="0.2">
      <c r="B639" t="s">
        <v>865</v>
      </c>
      <c r="C639" t="s">
        <v>866</v>
      </c>
      <c r="D639" s="5">
        <v>40802</v>
      </c>
      <c r="E639" s="5">
        <v>40802</v>
      </c>
      <c r="G639" s="5">
        <v>41654</v>
      </c>
    </row>
    <row r="640" spans="1:7" x14ac:dyDescent="0.2">
      <c r="B640" t="s">
        <v>867</v>
      </c>
      <c r="C640" t="s">
        <v>868</v>
      </c>
      <c r="D640" s="5">
        <v>40844</v>
      </c>
      <c r="E640" s="5">
        <v>40844</v>
      </c>
      <c r="G640" s="5">
        <v>41654</v>
      </c>
    </row>
    <row r="641" spans="1:7" x14ac:dyDescent="0.2">
      <c r="B641" t="s">
        <v>869</v>
      </c>
      <c r="C641" t="s">
        <v>870</v>
      </c>
      <c r="D641" s="5">
        <v>40949</v>
      </c>
      <c r="E641" s="5">
        <v>40949</v>
      </c>
      <c r="G641" s="5">
        <v>41654</v>
      </c>
    </row>
    <row r="642" spans="1:7" x14ac:dyDescent="0.2">
      <c r="B642" t="s">
        <v>871</v>
      </c>
      <c r="C642" t="s">
        <v>872</v>
      </c>
      <c r="D642" s="5">
        <v>40975</v>
      </c>
      <c r="E642" s="5">
        <v>40975</v>
      </c>
      <c r="G642" s="5">
        <v>41654</v>
      </c>
    </row>
    <row r="643" spans="1:7" x14ac:dyDescent="0.2">
      <c r="B643" t="s">
        <v>851</v>
      </c>
      <c r="C643" t="s">
        <v>852</v>
      </c>
      <c r="D643" s="5">
        <v>40977</v>
      </c>
      <c r="E643" s="5">
        <v>40977</v>
      </c>
      <c r="G643" s="5">
        <v>41654</v>
      </c>
    </row>
    <row r="644" spans="1:7" x14ac:dyDescent="0.2">
      <c r="B644" t="s">
        <v>873</v>
      </c>
      <c r="C644" t="s">
        <v>874</v>
      </c>
      <c r="D644" s="5">
        <v>41050</v>
      </c>
      <c r="E644" s="5">
        <v>41050</v>
      </c>
      <c r="G644" s="5">
        <v>41654</v>
      </c>
    </row>
    <row r="645" spans="1:7" x14ac:dyDescent="0.2">
      <c r="A645">
        <v>201403</v>
      </c>
      <c r="B645" t="s">
        <v>875</v>
      </c>
      <c r="C645" t="s">
        <v>876</v>
      </c>
      <c r="D645" s="5">
        <v>40917</v>
      </c>
      <c r="E645" s="5">
        <v>40961</v>
      </c>
      <c r="F645" t="s">
        <v>877</v>
      </c>
      <c r="G645" s="5">
        <v>41646</v>
      </c>
    </row>
    <row r="646" spans="1:7" x14ac:dyDescent="0.2">
      <c r="A646">
        <v>201373</v>
      </c>
      <c r="B646" t="str">
        <f>VLOOKUP(C646,'[1]2012-2013与2016-2018股票代码'!A:B,2,0)</f>
        <v>300182.SZ</v>
      </c>
      <c r="C646" t="s">
        <v>878</v>
      </c>
      <c r="D646" s="5">
        <v>40696</v>
      </c>
      <c r="E646" s="5">
        <v>40730</v>
      </c>
      <c r="F646" t="s">
        <v>879</v>
      </c>
      <c r="G646" s="5">
        <v>41619</v>
      </c>
    </row>
    <row r="647" spans="1:7" x14ac:dyDescent="0.2">
      <c r="B647" t="str">
        <f>VLOOKUP(C647,'[1]2012-2013与2016-2018股票代码'!A:B,2,0)</f>
        <v>300182.SZ</v>
      </c>
      <c r="C647" t="s">
        <v>878</v>
      </c>
      <c r="D647" s="5">
        <v>40732</v>
      </c>
      <c r="E647" s="5">
        <v>40737</v>
      </c>
      <c r="F647" t="s">
        <v>880</v>
      </c>
      <c r="G647" s="5">
        <v>41619</v>
      </c>
    </row>
    <row r="648" spans="1:7" x14ac:dyDescent="0.2">
      <c r="A648">
        <v>201340</v>
      </c>
      <c r="B648" t="str">
        <f>VLOOKUP(C648,'[1]2012-2013与2016-2018股票代码'!A:B,2,0)</f>
        <v>000018.SZ</v>
      </c>
      <c r="C648" t="s">
        <v>881</v>
      </c>
      <c r="D648" s="5">
        <v>41162</v>
      </c>
      <c r="E648" s="5">
        <v>41180</v>
      </c>
      <c r="F648" t="s">
        <v>882</v>
      </c>
      <c r="G648" s="5">
        <v>41522</v>
      </c>
    </row>
    <row r="649" spans="1:7" x14ac:dyDescent="0.2">
      <c r="B649" t="str">
        <f>VLOOKUP(C649,'[1]2012-2013与2016-2018股票代码'!A:B,2,0)</f>
        <v>002190.SZ</v>
      </c>
      <c r="C649" t="s">
        <v>883</v>
      </c>
      <c r="D649" s="5">
        <v>40197</v>
      </c>
      <c r="E649" s="5">
        <v>40270</v>
      </c>
      <c r="F649" t="s">
        <v>884</v>
      </c>
      <c r="G649" s="5">
        <v>41177</v>
      </c>
    </row>
    <row r="650" spans="1:7" x14ac:dyDescent="0.2">
      <c r="B650" t="str">
        <f>VLOOKUP(C650,'[1]2012-2013与2016-2018股票代码'!A:B,2,0)</f>
        <v>F1000816.00</v>
      </c>
      <c r="C650" t="s">
        <v>885</v>
      </c>
      <c r="D650" s="5">
        <v>40266</v>
      </c>
      <c r="E650" s="5">
        <v>40298</v>
      </c>
      <c r="F650" t="s">
        <v>886</v>
      </c>
      <c r="G650" s="5">
        <v>41177</v>
      </c>
    </row>
    <row r="651" spans="1:7" x14ac:dyDescent="0.2">
      <c r="A651">
        <v>201243</v>
      </c>
      <c r="B651" t="str">
        <f>VLOOKUP(C651,'[1]2012-2013与2016-2018股票代码'!A:B,2,0)</f>
        <v>600343.SH</v>
      </c>
      <c r="C651" t="s">
        <v>887</v>
      </c>
      <c r="D651" s="5">
        <v>40270</v>
      </c>
      <c r="E651" s="5">
        <v>40387</v>
      </c>
      <c r="F651" t="s">
        <v>888</v>
      </c>
      <c r="G651" s="5">
        <v>41169</v>
      </c>
    </row>
    <row r="652" spans="1:7" x14ac:dyDescent="0.2">
      <c r="A652">
        <v>201228</v>
      </c>
      <c r="B652" t="str">
        <f>VLOOKUP(C652,'[1]2012-2013与2016-2018股票代码'!A:B,2,0)</f>
        <v>600130.SH</v>
      </c>
      <c r="C652" t="s">
        <v>889</v>
      </c>
      <c r="D652" s="5">
        <v>40659</v>
      </c>
      <c r="E652" s="5">
        <v>40659</v>
      </c>
      <c r="G652" s="5">
        <v>41087</v>
      </c>
    </row>
    <row r="653" spans="1:7" x14ac:dyDescent="0.2">
      <c r="A653">
        <v>201213</v>
      </c>
      <c r="B653" t="str">
        <f>VLOOKUP(C653,'[1]2012-2013与2016-2018股票代码'!A:B,2,0)</f>
        <v>600876.SH</v>
      </c>
      <c r="C653" t="s">
        <v>890</v>
      </c>
      <c r="D653" s="5">
        <v>40150</v>
      </c>
      <c r="E653" s="5">
        <v>40374</v>
      </c>
      <c r="F653" t="s">
        <v>891</v>
      </c>
      <c r="G653" s="5">
        <v>41032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2026-03-30T10:45:58Z</dcterms:created>
  <dcterms:modified xsi:type="dcterms:W3CDTF">2026-03-30T11:10:39Z</dcterms:modified>
</cp:coreProperties>
</file>